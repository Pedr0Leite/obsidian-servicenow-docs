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9"/>
  <workbookPr updateLinks="never"/>
  <mc:AlternateContent xmlns:mc="http://schemas.openxmlformats.org/markup-compatibility/2006">
    <mc:Choice Requires="x15">
      <x15ac:absPath xmlns:x15ac="http://schemas.microsoft.com/office/spreadsheetml/2010/11/ac" url="/Users/nicki.atkinson/Downloads/"/>
    </mc:Choice>
  </mc:AlternateContent>
  <xr:revisionPtr revIDLastSave="0" documentId="8_{9B213A26-4499-D641-BF4C-3A434FC2776F}" xr6:coauthVersionLast="47" xr6:coauthVersionMax="47" xr10:uidLastSave="{00000000-0000-0000-0000-000000000000}"/>
  <bookViews>
    <workbookView xWindow="400" yWindow="460" windowWidth="29080" windowHeight="16500" xr2:uid="{00000000-000D-0000-FFFF-FFFF00000000}"/>
  </bookViews>
  <sheets>
    <sheet name="Applications Basic Data" sheetId="1" r:id="rId1"/>
    <sheet name="Business Processes" sheetId="14" r:id="rId2"/>
    <sheet name="Security" sheetId="10" r:id="rId3"/>
    <sheet name="Audit Compliance" sheetId="12" r:id="rId4"/>
    <sheet name="Infrastructure" sheetId="11" r:id="rId5"/>
    <sheet name="Health" sheetId="13" r:id="rId6"/>
    <sheet name="Group members" sheetId="4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0" hidden="1">'Applications Basic Data'!$A$1:$L$11</definedName>
    <definedName name="_xlnm._FilterDatabase" localSheetId="3" hidden="1">'Audit Compliance'!$A$1:$F$11</definedName>
    <definedName name="_xlnm._FilterDatabase" localSheetId="5" hidden="1">Health!$A$1:$M$11</definedName>
    <definedName name="_xlnm._FilterDatabase" localSheetId="4" hidden="1">Infrastructure!$A$1:$F$11</definedName>
    <definedName name="_xlnm._FilterDatabase" localSheetId="2" hidden="1">Security!$A$1:$H$11</definedName>
    <definedName name="Acc1_Sta">[1]Values!$D$2:$D$4</definedName>
    <definedName name="Boolean">[2]!Table4[Boolean]</definedName>
    <definedName name="ClientCodes">[2]!Table1[Client Code]</definedName>
    <definedName name="Doc1_Ref">[1]Values!$A$2:$A$24</definedName>
    <definedName name="Environment_Type">[2]!Table6[Environment]</definedName>
    <definedName name="Fee1_Cat">[1]Values!$B$2:$B$7</definedName>
    <definedName name="Fee1_Sta">[1]Values!$C$2:$C$7</definedName>
    <definedName name="Maintenance_Status">[2]!Table5[Maintenance Status]</definedName>
    <definedName name="Network_Dev_Type">[2]!Table8[Network Dev Type]</definedName>
    <definedName name="Pro_Nam">[1]Values!$E$2:$E$29</definedName>
    <definedName name="Status">[3]Constants!$A$2:$A$5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2" i="14" l="1"/>
  <c r="AA12" i="14"/>
  <c r="Z12" i="14"/>
  <c r="Y12" i="14"/>
  <c r="X12" i="14"/>
  <c r="W12" i="14"/>
  <c r="V12" i="14"/>
  <c r="U12" i="14"/>
  <c r="T12" i="14"/>
  <c r="R12" i="14"/>
  <c r="AB11" i="14"/>
  <c r="AA11" i="14"/>
  <c r="Z11" i="14"/>
  <c r="Y11" i="14"/>
  <c r="X11" i="14"/>
  <c r="W11" i="14"/>
  <c r="V11" i="14"/>
  <c r="U11" i="14"/>
  <c r="T11" i="14"/>
  <c r="R11" i="14"/>
  <c r="AB10" i="14"/>
  <c r="AA10" i="14"/>
  <c r="Z10" i="14"/>
  <c r="Y10" i="14"/>
  <c r="X10" i="14"/>
  <c r="W10" i="14"/>
  <c r="V10" i="14"/>
  <c r="U10" i="14"/>
  <c r="T10" i="14"/>
  <c r="R10" i="14"/>
  <c r="AB9" i="14"/>
  <c r="AA9" i="14"/>
  <c r="Z9" i="14"/>
  <c r="Y9" i="14"/>
  <c r="X9" i="14"/>
  <c r="W9" i="14"/>
  <c r="V9" i="14"/>
  <c r="U9" i="14"/>
  <c r="T9" i="14"/>
  <c r="R9" i="14"/>
  <c r="AB8" i="14"/>
  <c r="AA8" i="14"/>
  <c r="Z8" i="14"/>
  <c r="Y8" i="14"/>
  <c r="X8" i="14"/>
  <c r="W8" i="14"/>
  <c r="V8" i="14"/>
  <c r="U8" i="14"/>
  <c r="T8" i="14"/>
  <c r="R8" i="14"/>
  <c r="AB7" i="14"/>
  <c r="AA7" i="14"/>
  <c r="Z7" i="14"/>
  <c r="Y7" i="14"/>
  <c r="X7" i="14"/>
  <c r="W7" i="14"/>
  <c r="V7" i="14"/>
  <c r="U7" i="14"/>
  <c r="T7" i="14"/>
  <c r="R7" i="14"/>
  <c r="AB6" i="14"/>
  <c r="AA6" i="14"/>
  <c r="Z6" i="14"/>
  <c r="Y6" i="14"/>
  <c r="X6" i="14"/>
  <c r="W6" i="14"/>
  <c r="V6" i="14"/>
  <c r="U6" i="14"/>
  <c r="T6" i="14"/>
  <c r="R6" i="14"/>
  <c r="AB5" i="14"/>
  <c r="AA5" i="14"/>
  <c r="Z5" i="14"/>
  <c r="Y5" i="14"/>
  <c r="X5" i="14"/>
  <c r="W5" i="14"/>
  <c r="V5" i="14"/>
  <c r="U5" i="14"/>
  <c r="T5" i="14"/>
  <c r="R5" i="14"/>
  <c r="AB4" i="14"/>
  <c r="AA4" i="14"/>
  <c r="Z4" i="14"/>
  <c r="Y4" i="14"/>
  <c r="X4" i="14"/>
  <c r="W4" i="14"/>
  <c r="V4" i="14"/>
  <c r="U4" i="14"/>
  <c r="T4" i="14"/>
  <c r="R4" i="14"/>
  <c r="AB3" i="14"/>
  <c r="AA3" i="14"/>
  <c r="Z3" i="14"/>
  <c r="Y3" i="14"/>
  <c r="X3" i="14"/>
  <c r="W3" i="14"/>
  <c r="V3" i="14"/>
  <c r="U3" i="14"/>
  <c r="T3" i="14"/>
  <c r="R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Mathieu Chieze</author>
  </authors>
  <commentList>
    <comment ref="F1" authorId="0" shapeId="0" xr:uid="{00000000-0006-0000-0200-000001000000}">
      <text>
        <r>
          <rPr>
            <sz val="9"/>
            <color rgb="FF000000"/>
            <rFont val="Tahoma"/>
            <family val="2"/>
          </rPr>
          <t xml:space="preserve">nadie no autorizado puede ver datos
</t>
        </r>
      </text>
    </comment>
    <comment ref="G1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nadie sin autorzacion pueda cambiar cifras - Impacto si alguien modifica datos
</t>
        </r>
      </text>
    </comment>
    <comment ref="H1" authorId="0" shapeId="0" xr:uid="{00000000-0006-0000-0200-000003000000}">
      <text>
        <r>
          <rPr>
            <b/>
            <sz val="9"/>
            <color rgb="FF000000"/>
            <rFont val="Tahoma"/>
            <family val="2"/>
          </rPr>
          <t>24h for example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Rebollo Arnaiz</author>
  </authors>
  <commentList>
    <comment ref="G1" authorId="0" shapeId="0" xr:uid="{00000000-0006-0000-0500-000001000000}">
      <text>
        <r>
          <rPr>
            <sz val="10"/>
            <color indexed="81"/>
            <rFont val="Tahoma"/>
            <family val="2"/>
          </rPr>
          <t>If the app uses ancient technology or have SO and/or DB out of support versions, type Yes (if not type No)</t>
        </r>
      </text>
    </comment>
    <comment ref="H1" authorId="0" shapeId="0" xr:uid="{00000000-0006-0000-0500-000002000000}">
      <text>
        <r>
          <rPr>
            <sz val="9"/>
            <color indexed="81"/>
            <rFont val="Tahoma"/>
            <family val="2"/>
          </rPr>
          <t xml:space="preserve">Health refers to the number of incidences or issues. As high is the performance and the stability, as high is the quotation
</t>
        </r>
      </text>
    </comment>
    <comment ref="I1" authorId="0" shapeId="0" xr:uid="{00000000-0006-0000-0500-000003000000}">
      <text>
        <r>
          <rPr>
            <sz val="10"/>
            <color indexed="81"/>
            <rFont val="Tahoma"/>
            <family val="2"/>
          </rPr>
          <t>This parameter is about the impact of the App in the factory. What would happen if the app doesn't work properly? As more risk more high quote</t>
        </r>
      </text>
    </comment>
    <comment ref="J1" authorId="0" shapeId="0" xr:uid="{00000000-0006-0000-0500-000004000000}">
      <text>
        <r>
          <rPr>
            <sz val="10"/>
            <color indexed="81"/>
            <rFont val="Tahoma"/>
            <family val="2"/>
          </rPr>
          <t>Do you feel conformatble with this App? If you could change it, do you do it? As more mark more satisfaction</t>
        </r>
      </text>
    </comment>
  </commentList>
</comments>
</file>

<file path=xl/sharedStrings.xml><?xml version="1.0" encoding="utf-8"?>
<sst xmlns="http://schemas.openxmlformats.org/spreadsheetml/2006/main" count="497" uniqueCount="199">
  <si>
    <t>No</t>
  </si>
  <si>
    <t>Main application</t>
  </si>
  <si>
    <t>Yes</t>
  </si>
  <si>
    <t>Sub application</t>
  </si>
  <si>
    <t>Description</t>
  </si>
  <si>
    <t>Active</t>
  </si>
  <si>
    <t>IT Application owner</t>
  </si>
  <si>
    <t>Corp.</t>
  </si>
  <si>
    <t>Comment</t>
  </si>
  <si>
    <t>OK?</t>
  </si>
  <si>
    <t>Classification</t>
  </si>
  <si>
    <t>Knowledge</t>
  </si>
  <si>
    <t>Satisfaction</t>
  </si>
  <si>
    <t>Usage</t>
  </si>
  <si>
    <t>Total</t>
  </si>
  <si>
    <t>GDPR</t>
  </si>
  <si>
    <t>DATA PROCESOR</t>
  </si>
  <si>
    <t>Confidentality</t>
  </si>
  <si>
    <t>Integrity</t>
  </si>
  <si>
    <t>Availability</t>
  </si>
  <si>
    <t>In scope</t>
  </si>
  <si>
    <t>User management</t>
  </si>
  <si>
    <t>Status (findings)</t>
  </si>
  <si>
    <t>Servers</t>
  </si>
  <si>
    <t>Network</t>
  </si>
  <si>
    <t>Other CI</t>
  </si>
  <si>
    <t>Version</t>
  </si>
  <si>
    <t>Software provider</t>
  </si>
  <si>
    <t>Support Partner</t>
  </si>
  <si>
    <t>Obsolete</t>
  </si>
  <si>
    <t>Health</t>
  </si>
  <si>
    <t>Risk</t>
  </si>
  <si>
    <t>Annual License cost</t>
  </si>
  <si>
    <t>Annual Maintenance Cost</t>
  </si>
  <si>
    <t>Internal FTE</t>
  </si>
  <si>
    <t>YES</t>
  </si>
  <si>
    <t>NO</t>
  </si>
  <si>
    <t>Warehouse management system</t>
  </si>
  <si>
    <t>Payroll interface software</t>
  </si>
  <si>
    <t>OK</t>
  </si>
  <si>
    <t>Time Management</t>
  </si>
  <si>
    <t>Warehouse Management</t>
  </si>
  <si>
    <t>Manufacturing Execution</t>
  </si>
  <si>
    <t>Recipes Management</t>
  </si>
  <si>
    <t>IT</t>
  </si>
  <si>
    <t>My TimeTrack</t>
  </si>
  <si>
    <t>WarehousePlus</t>
  </si>
  <si>
    <t>FinanceFast</t>
  </si>
  <si>
    <t>PayRoll Automation</t>
  </si>
  <si>
    <t>Credit Check</t>
  </si>
  <si>
    <t>Travel Manager</t>
  </si>
  <si>
    <t>HolidayPlanner</t>
  </si>
  <si>
    <t>Execution System for FinanceFast</t>
  </si>
  <si>
    <t>Software to perform credit check operations</t>
  </si>
  <si>
    <t>Travel budget approval system</t>
  </si>
  <si>
    <t>Team holidays planner and approval in-house system</t>
  </si>
  <si>
    <t>Time management system</t>
  </si>
  <si>
    <t>High</t>
  </si>
  <si>
    <t>WarehousePlus-Facilities</t>
  </si>
  <si>
    <t>WarehousePlus-Promotions</t>
  </si>
  <si>
    <t>WarehousePlus-IT</t>
  </si>
  <si>
    <t>WarehousePlus-Lease</t>
  </si>
  <si>
    <t>Ongoing project to push it to the cloud</t>
  </si>
  <si>
    <t>To be decomissioned in 2024</t>
  </si>
  <si>
    <t>Low</t>
  </si>
  <si>
    <t>Medium</t>
  </si>
  <si>
    <t>Finances Payroll</t>
  </si>
  <si>
    <t>Finances Compensation</t>
  </si>
  <si>
    <t>Auditor 1</t>
  </si>
  <si>
    <t>Auditor 2</t>
  </si>
  <si>
    <t>Auditor 3</t>
  </si>
  <si>
    <t>SRV-00001, DB-ES234</t>
  </si>
  <si>
    <t>ESDATA-WS006, ESDATA-DB006</t>
  </si>
  <si>
    <t>ESDATA-WS007, ESDATA-DB007</t>
  </si>
  <si>
    <t>ESDATA-WS005, ESDATA-DB005</t>
  </si>
  <si>
    <t>F5-00223</t>
  </si>
  <si>
    <t>F5-00133</t>
  </si>
  <si>
    <t>F5-00326</t>
  </si>
  <si>
    <t>F5-00441</t>
  </si>
  <si>
    <t>F5-00189</t>
  </si>
  <si>
    <t>WHF</t>
  </si>
  <si>
    <t>BBTH</t>
  </si>
  <si>
    <t>Good</t>
  </si>
  <si>
    <t>UK</t>
  </si>
  <si>
    <t>NL</t>
  </si>
  <si>
    <t>PT</t>
  </si>
  <si>
    <t>FR</t>
  </si>
  <si>
    <t>CH</t>
  </si>
  <si>
    <t>ES</t>
  </si>
  <si>
    <t>BE</t>
  </si>
  <si>
    <t>IR</t>
  </si>
  <si>
    <t>John Anderson</t>
  </si>
  <si>
    <t>Mary Johnson, Liam Chambers</t>
  </si>
  <si>
    <t>Luigi Pennini</t>
  </si>
  <si>
    <t>Massimo Sigismondi</t>
  </si>
  <si>
    <t>Giulio Moranti</t>
  </si>
  <si>
    <t>Jean McCallister</t>
  </si>
  <si>
    <t>Ann Lewis</t>
  </si>
  <si>
    <t>Catherine Martins</t>
  </si>
  <si>
    <t>Joao Ereio</t>
  </si>
  <si>
    <t>Fernando Henriques</t>
  </si>
  <si>
    <t>Sofia Fernandes</t>
  </si>
  <si>
    <t>Jan Hakvoort</t>
  </si>
  <si>
    <t>Ronald de Wit</t>
  </si>
  <si>
    <t>Sylvia Hanssen</t>
  </si>
  <si>
    <t>Alexandre Bieri</t>
  </si>
  <si>
    <t>Donald Krieger</t>
  </si>
  <si>
    <t>Karel De Jong</t>
  </si>
  <si>
    <t>Jaco Van Dijk</t>
  </si>
  <si>
    <t>Matthijs Visser</t>
  </si>
  <si>
    <t>Joanne Wright</t>
  </si>
  <si>
    <t>Lourdes García</t>
  </si>
  <si>
    <t>Marta Fernández, Adela Sánchez</t>
  </si>
  <si>
    <t>Anne-Marie Lavigne</t>
  </si>
  <si>
    <t>Jean-Christophe Moulin</t>
  </si>
  <si>
    <t>Amélie Laurent</t>
  </si>
  <si>
    <t>Michael Fowkes</t>
  </si>
  <si>
    <t>Applicatio ID</t>
  </si>
  <si>
    <t>Carl Smith</t>
  </si>
  <si>
    <t>Stanley Rice</t>
  </si>
  <si>
    <t>Austin Buck</t>
  </si>
  <si>
    <t>Julie Armitage</t>
  </si>
  <si>
    <t>Edgar Bowes</t>
  </si>
  <si>
    <t>Gillian Reynolds</t>
  </si>
  <si>
    <t>Elly Fuller</t>
  </si>
  <si>
    <t>GBB_ORG_TMM</t>
  </si>
  <si>
    <t>GBB_ORB_LOG</t>
  </si>
  <si>
    <t>GBB_ORG_FNC</t>
  </si>
  <si>
    <t>GBB_ORG_PYR</t>
  </si>
  <si>
    <t>GBB_ORG_CHK</t>
  </si>
  <si>
    <t>GBB_ORG_TRV</t>
  </si>
  <si>
    <t>GBB_ORG_HOL</t>
  </si>
  <si>
    <t>GROUP</t>
  </si>
  <si>
    <t>ESDATA-WS001, ESDATA-WS002, ESDATA-DB009</t>
  </si>
  <si>
    <t>ESDATA-WS008, ESDATA-WS009, ESDATA-DB004</t>
  </si>
  <si>
    <t>ESDATA-WS003, ESDATA-DB002</t>
  </si>
  <si>
    <t>ESDATA-WS004, ESDATA-DB003</t>
  </si>
  <si>
    <t>ESDATA-WS040, ESDATA-WS070,
ESDATA-DB050, 
DEV ESDATA-DB040</t>
  </si>
  <si>
    <t>ESDATA-WS042, ESDATA-WS072,
ESDATA-DB052, 
DEV ESDATA-DB042</t>
  </si>
  <si>
    <t>LB-004</t>
  </si>
  <si>
    <t>LB-020</t>
  </si>
  <si>
    <t>LB-050</t>
  </si>
  <si>
    <t>LB-008</t>
  </si>
  <si>
    <t>LB-444</t>
  </si>
  <si>
    <t>Gonzalo Santos, Marga González</t>
  </si>
  <si>
    <t>APP_ORG_TMM</t>
  </si>
  <si>
    <t>APP_ORG_LOG</t>
  </si>
  <si>
    <t>APP_ORG_FNC</t>
  </si>
  <si>
    <t>APP_ORG_PYR</t>
  </si>
  <si>
    <t>APP_ORG_CHK</t>
  </si>
  <si>
    <t>APP_ORG_TRV</t>
  </si>
  <si>
    <t>APP_ORG_HOL</t>
  </si>
  <si>
    <t>Approval group</t>
  </si>
  <si>
    <t>My TimeTrack Group</t>
  </si>
  <si>
    <t>FinanceFast Group</t>
  </si>
  <si>
    <t>PayRoll Automation Group</t>
  </si>
  <si>
    <t>Credit Check Group</t>
  </si>
  <si>
    <t>Travel Manager Group</t>
  </si>
  <si>
    <t>HolidayPlanner Group</t>
  </si>
  <si>
    <t>Jérémy Héroux</t>
  </si>
  <si>
    <t>Jean-Paul Génin</t>
  </si>
  <si>
    <t>Iseult Girard</t>
  </si>
  <si>
    <t>Sarah Astier</t>
  </si>
  <si>
    <t>Luis Cambil, Fernando Hernández</t>
  </si>
  <si>
    <t>Facundo Prieto</t>
  </si>
  <si>
    <t>Yolanda Bravo</t>
  </si>
  <si>
    <t>Laureano Velasco</t>
  </si>
  <si>
    <t>Elisabeth William</t>
  </si>
  <si>
    <t>Edie Drake</t>
  </si>
  <si>
    <t>Shayla Moss</t>
  </si>
  <si>
    <t>Patricia Mosley</t>
  </si>
  <si>
    <t>Dorian Carton</t>
  </si>
  <si>
    <t>Jérémie Marissens</t>
  </si>
  <si>
    <t>Jonathan Dervaux</t>
  </si>
  <si>
    <t>Martin Demeyere</t>
  </si>
  <si>
    <t>Aita Gertsch</t>
  </si>
  <si>
    <t>Dalina Burgdorfer</t>
  </si>
  <si>
    <t>Valentina Favre</t>
  </si>
  <si>
    <t>Mathilde Dettling</t>
  </si>
  <si>
    <t>Fiorenzo Daza</t>
  </si>
  <si>
    <t>Alighiero Percoco</t>
  </si>
  <si>
    <t>Frido Scanga</t>
  </si>
  <si>
    <t>Sabele Vivenzio</t>
  </si>
  <si>
    <t>Daire O'Flanagan</t>
  </si>
  <si>
    <t>Elijah Guinness</t>
  </si>
  <si>
    <t>Zac O'Friel</t>
  </si>
  <si>
    <t>Aleksander Muldowney</t>
  </si>
  <si>
    <t>Micaela Vomlel</t>
  </si>
  <si>
    <t>Leocádia Costa</t>
  </si>
  <si>
    <t>Letícia Pires</t>
  </si>
  <si>
    <t>Custódia Valente</t>
  </si>
  <si>
    <t>Florentijn Manenberg</t>
  </si>
  <si>
    <t>Sjaak Venebrugge</t>
  </si>
  <si>
    <t>Remko Adriaanse</t>
  </si>
  <si>
    <t>Walter van den Kerkdijk</t>
  </si>
  <si>
    <t>Application ID</t>
  </si>
  <si>
    <t>WarehousePlus Group</t>
  </si>
  <si>
    <t>Support</t>
  </si>
  <si>
    <t>Technical Support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</si>
</sst>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Calibri"/>
      <family val="2"/>
      <charset val="1"/>
    </font>
    <font>
      <u/>
      <sz val="12"/>
      <color theme="10"/>
      <name val="Calibri"/>
      <family val="2"/>
      <charset val="1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1" fillId="0" borderId="0"/>
  </cellStyleXfs>
  <cellXfs count="5">
    <xf numFmtId="0" fontId="0" fillId="0" borderId="0" xfId="0"/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/>
  </cellXfs>
  <cellStyles count="10">
    <cellStyle name="Hyperlink 2" xfId="2" xr:uid="{00000000-0005-0000-0000-000002000000}"/>
    <cellStyle name="Hyperlink 3" xfId="7" xr:uid="{00000000-0005-0000-0000-000003000000}"/>
    <cellStyle name="Normal" xfId="0" builtinId="0"/>
    <cellStyle name="Normal 16" xfId="8" xr:uid="{00000000-0005-0000-0000-000005000000}"/>
    <cellStyle name="Normal 2" xfId="1" xr:uid="{00000000-0005-0000-0000-000006000000}"/>
    <cellStyle name="Normal 2 2" xfId="5" xr:uid="{00000000-0005-0000-0000-000007000000}"/>
    <cellStyle name="Normal 3" xfId="3" xr:uid="{00000000-0005-0000-0000-000008000000}"/>
    <cellStyle name="Normal 3 2" xfId="6" xr:uid="{00000000-0005-0000-0000-000009000000}"/>
    <cellStyle name="Normal 4" xfId="4" xr:uid="{00000000-0005-0000-0000-00000A000000}"/>
    <cellStyle name="Normal 6" xfId="9" xr:uid="{00000000-0005-0000-0000-00000B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xcportal.sharepoint.com/iosnas001/Repositorio/WorkFolders/Sample%20Process%20Document/Sampledocs/SACM/Unity%20-IO%20Process%20Feedback%20Tracker%20Ver%201.0_SAC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Assignments/PDCRP/02-Deliverables/02.Assessment/PDCRP-Infrastructure.Configuration.Workbook-11.1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Assignments-Completed/PDCRP/01-Project%20Management/Templates/PDCRP-Communications.Pla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cki.atkinson/Desktop/1.%20CTA/C:\Users\mathieu.chieze\OneDrive%20-%20Campofrio%20Food%20Group\0%20APP\2%20Apps%20Rationalization%202020\Application%20Summary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Control"/>
      <sheetName val="Feedback Tracker"/>
      <sheetName val="Values"/>
    </sheetNames>
    <sheetDataSet>
      <sheetData sheetId="0"/>
      <sheetData sheetId="1"/>
      <sheetData sheetId="2">
        <row r="2">
          <cell r="A2" t="str">
            <v>Select</v>
          </cell>
          <cell r="B2" t="str">
            <v>Select</v>
          </cell>
          <cell r="C2" t="str">
            <v>Select</v>
          </cell>
          <cell r="D2" t="str">
            <v>Select</v>
          </cell>
          <cell r="E2" t="str">
            <v>Select</v>
          </cell>
        </row>
        <row r="3">
          <cell r="A3" t="str">
            <v>1.0 Purpose</v>
          </cell>
          <cell r="B3" t="str">
            <v>Process Change</v>
          </cell>
          <cell r="C3" t="str">
            <v>Open</v>
          </cell>
          <cell r="D3" t="str">
            <v>Accepted</v>
          </cell>
          <cell r="E3" t="str">
            <v>Incident Management (IM)</v>
          </cell>
        </row>
        <row r="4">
          <cell r="A4" t="str">
            <v>2.0 Scope</v>
          </cell>
          <cell r="B4" t="str">
            <v>Clarification</v>
          </cell>
          <cell r="C4" t="str">
            <v>WIP</v>
          </cell>
          <cell r="D4" t="str">
            <v>Needs Rework</v>
          </cell>
          <cell r="E4" t="str">
            <v>Problem Management (PM)</v>
          </cell>
        </row>
        <row r="5">
          <cell r="A5" t="str">
            <v>3.0 Target Audience</v>
          </cell>
          <cell r="B5" t="str">
            <v>Tool Automation</v>
          </cell>
          <cell r="C5" t="str">
            <v>Reviwer to Clarify</v>
          </cell>
          <cell r="E5" t="str">
            <v>Change Management (CHM)</v>
          </cell>
        </row>
        <row r="6">
          <cell r="A6" t="str">
            <v>4.0 What is Process?</v>
          </cell>
          <cell r="B6" t="str">
            <v>Guidelines</v>
          </cell>
          <cell r="C6" t="str">
            <v>Reviwer to Confirm</v>
          </cell>
          <cell r="E6" t="str">
            <v>Service Asset and Configuration Management (SACM)</v>
          </cell>
        </row>
        <row r="7">
          <cell r="A7" t="str">
            <v>5.0 Objectives of Process</v>
          </cell>
          <cell r="B7" t="str">
            <v>Templates</v>
          </cell>
          <cell r="C7" t="str">
            <v>Closed by IDC</v>
          </cell>
          <cell r="E7" t="str">
            <v>Demand Management (DM)</v>
          </cell>
        </row>
        <row r="8">
          <cell r="A8" t="str">
            <v>6.0 Benefits</v>
          </cell>
          <cell r="E8" t="str">
            <v>Service Catalogue Management (SCM)</v>
          </cell>
        </row>
        <row r="9">
          <cell r="A9" t="str">
            <v>7.0 Process</v>
          </cell>
          <cell r="E9" t="str">
            <v>Service Request Fulfillment (SRF)</v>
          </cell>
        </row>
        <row r="10">
          <cell r="A10" t="str">
            <v>7.1 L1 Process</v>
          </cell>
          <cell r="E10" t="str">
            <v>Access Management (AM)</v>
          </cell>
        </row>
        <row r="11">
          <cell r="A11" t="str">
            <v>7.2 L2 Process</v>
          </cell>
          <cell r="E11" t="str">
            <v>Security Management  (ASM)</v>
          </cell>
        </row>
        <row r="12">
          <cell r="A12" t="str">
            <v>7.3 L3 Process</v>
          </cell>
          <cell r="E12" t="str">
            <v>Event Management (EM)</v>
          </cell>
        </row>
        <row r="13">
          <cell r="A13" t="str">
            <v>8.0 Roles &amp; Responsibilities</v>
          </cell>
          <cell r="E13" t="str">
            <v>Release &amp; Deployment Management (R&amp;DM)</v>
          </cell>
        </row>
        <row r="14">
          <cell r="A14" t="str">
            <v>9.0 Metrics</v>
          </cell>
          <cell r="E14" t="str">
            <v>Capacity Management (CM)</v>
          </cell>
        </row>
        <row r="15">
          <cell r="A15" t="str">
            <v>10.0 Reporting</v>
          </cell>
          <cell r="E15" t="str">
            <v>IT Service Continuity Management (ITSCM)</v>
          </cell>
        </row>
        <row r="16">
          <cell r="A16" t="str">
            <v>11.0 Value Delivery</v>
          </cell>
          <cell r="E16" t="str">
            <v>Availability Management (AVM)</v>
          </cell>
        </row>
        <row r="17">
          <cell r="A17" t="str">
            <v>12.0 Integration</v>
          </cell>
          <cell r="E17" t="str">
            <v>Service Level Management (SLM)</v>
          </cell>
        </row>
        <row r="18">
          <cell r="A18" t="str">
            <v>13.0 Tools</v>
          </cell>
          <cell r="E18" t="str">
            <v>Continual Service Improvement (CSI)</v>
          </cell>
        </row>
        <row r="19">
          <cell r="A19" t="str">
            <v>14.0 Terms and Definition</v>
          </cell>
          <cell r="E19" t="str">
            <v>Knowledge Management (KM)</v>
          </cell>
        </row>
        <row r="20">
          <cell r="A20" t="str">
            <v>15.0 Compliance</v>
          </cell>
          <cell r="E20" t="str">
            <v>Supplier Management (SM)</v>
          </cell>
        </row>
        <row r="21">
          <cell r="A21" t="str">
            <v>16.0 L4 Work Instructions</v>
          </cell>
          <cell r="E21" t="str">
            <v>Financial Management (FM)</v>
          </cell>
        </row>
        <row r="22">
          <cell r="A22" t="str">
            <v>17.0 Templates</v>
          </cell>
          <cell r="E22" t="str">
            <v>Transition Planning and Support (TP&amp;S)</v>
          </cell>
        </row>
        <row r="23">
          <cell r="A23" t="str">
            <v>18.0 Guidelines</v>
          </cell>
          <cell r="E23" t="str">
            <v>Service Validation and Testing (SV&amp;T)</v>
          </cell>
        </row>
        <row r="24">
          <cell r="A24" t="str">
            <v>19.0 Policy</v>
          </cell>
          <cell r="E24" t="str">
            <v>Strategy Management for IT Services (SM&amp;I)</v>
          </cell>
        </row>
        <row r="25">
          <cell r="E25" t="str">
            <v>Service Portfolio Management (SPM)</v>
          </cell>
        </row>
        <row r="26">
          <cell r="E26" t="str">
            <v>Design Coordination (DC)</v>
          </cell>
        </row>
        <row r="27">
          <cell r="E27" t="str">
            <v>Business Relationship Management (BRM)</v>
          </cell>
        </row>
        <row r="28">
          <cell r="E28" t="str">
            <v>Change Evaluation (CE)</v>
          </cell>
        </row>
        <row r="29">
          <cell r="E29" t="str">
            <v>Service Management Systems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Control"/>
      <sheetName val="SRV"/>
      <sheetName val="INT"/>
      <sheetName val="S&amp;B"/>
      <sheetName val="NET"/>
      <sheetName val="WAN"/>
      <sheetName val="PCH"/>
      <sheetName val="Constants"/>
      <sheetName val="PDCRP-Infrastructure"/>
      <sheetName val="ap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Control"/>
      <sheetName val="Communications Plan"/>
      <sheetName val="Constants"/>
    </sheetNames>
    <sheetDataSet>
      <sheetData sheetId="0" refreshError="1"/>
      <sheetData sheetId="1" refreshError="1"/>
      <sheetData sheetId="2">
        <row r="2">
          <cell r="A2" t="str">
            <v>Not Started</v>
          </cell>
        </row>
        <row r="3">
          <cell r="A3" t="str">
            <v>In Progress</v>
          </cell>
        </row>
        <row r="4">
          <cell r="A4" t="str">
            <v>On-Going</v>
          </cell>
        </row>
        <row r="5">
          <cell r="A5" t="str">
            <v>Complete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" sqref="D7"/>
    </sheetView>
  </sheetViews>
  <sheetFormatPr baseColWidth="10" defaultColWidth="8.5" defaultRowHeight="15" x14ac:dyDescent="0.2"/>
  <cols>
    <col min="1" max="1" width="9.6640625" bestFit="1" customWidth="1"/>
    <col min="2" max="2" width="30.5" bestFit="1" customWidth="1"/>
    <col min="3" max="3" width="28.33203125" bestFit="1" customWidth="1"/>
    <col min="4" max="4" width="49.1640625" bestFit="1" customWidth="1"/>
    <col min="5" max="5" width="9" bestFit="1" customWidth="1"/>
    <col min="6" max="6" width="22" bestFit="1" customWidth="1"/>
    <col min="7" max="7" width="22" style="1" customWidth="1"/>
    <col min="8" max="8" width="21.83203125" bestFit="1" customWidth="1"/>
    <col min="9" max="9" width="8.1640625" bestFit="1" customWidth="1"/>
    <col min="10" max="10" width="30.5" customWidth="1"/>
    <col min="11" max="11" width="7" bestFit="1" customWidth="1"/>
  </cols>
  <sheetData>
    <row r="1" spans="1:11" x14ac:dyDescent="0.2">
      <c r="A1" t="s">
        <v>117</v>
      </c>
      <c r="B1" t="s">
        <v>1</v>
      </c>
      <c r="C1" t="s">
        <v>3</v>
      </c>
      <c r="D1" t="s">
        <v>4</v>
      </c>
      <c r="E1" t="s">
        <v>5</v>
      </c>
      <c r="F1" t="s">
        <v>198</v>
      </c>
      <c r="G1" s="1" t="s">
        <v>152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45</v>
      </c>
      <c r="C2" t="s">
        <v>45</v>
      </c>
      <c r="D2" t="s">
        <v>56</v>
      </c>
      <c r="E2" t="s">
        <v>35</v>
      </c>
      <c r="F2" t="s">
        <v>125</v>
      </c>
      <c r="G2" s="1" t="s">
        <v>145</v>
      </c>
      <c r="H2" t="s">
        <v>118</v>
      </c>
      <c r="I2" t="s">
        <v>35</v>
      </c>
      <c r="J2" t="s">
        <v>62</v>
      </c>
      <c r="K2" t="s">
        <v>39</v>
      </c>
    </row>
    <row r="3" spans="1:11" x14ac:dyDescent="0.2">
      <c r="A3">
        <v>2</v>
      </c>
      <c r="B3" t="s">
        <v>46</v>
      </c>
      <c r="C3" t="s">
        <v>58</v>
      </c>
      <c r="D3" t="s">
        <v>37</v>
      </c>
      <c r="E3" t="s">
        <v>35</v>
      </c>
      <c r="F3" t="s">
        <v>126</v>
      </c>
      <c r="G3" s="1" t="s">
        <v>146</v>
      </c>
      <c r="H3" t="s">
        <v>119</v>
      </c>
      <c r="I3" t="s">
        <v>35</v>
      </c>
      <c r="J3" t="s">
        <v>63</v>
      </c>
      <c r="K3" t="s">
        <v>39</v>
      </c>
    </row>
    <row r="4" spans="1:11" x14ac:dyDescent="0.2">
      <c r="A4">
        <v>3</v>
      </c>
      <c r="B4" t="s">
        <v>46</v>
      </c>
      <c r="C4" t="s">
        <v>59</v>
      </c>
      <c r="D4" t="s">
        <v>37</v>
      </c>
      <c r="E4" t="s">
        <v>35</v>
      </c>
      <c r="F4" t="s">
        <v>126</v>
      </c>
      <c r="G4" s="1" t="s">
        <v>146</v>
      </c>
      <c r="H4" t="s">
        <v>119</v>
      </c>
      <c r="I4" t="s">
        <v>35</v>
      </c>
      <c r="J4" t="s">
        <v>63</v>
      </c>
      <c r="K4" t="s">
        <v>39</v>
      </c>
    </row>
    <row r="5" spans="1:11" x14ac:dyDescent="0.2">
      <c r="A5">
        <v>4</v>
      </c>
      <c r="B5" t="s">
        <v>46</v>
      </c>
      <c r="C5" t="s">
        <v>60</v>
      </c>
      <c r="D5" t="s">
        <v>37</v>
      </c>
      <c r="E5" t="s">
        <v>35</v>
      </c>
      <c r="F5" t="s">
        <v>126</v>
      </c>
      <c r="G5" s="1" t="s">
        <v>146</v>
      </c>
      <c r="H5" t="s">
        <v>119</v>
      </c>
      <c r="I5" t="s">
        <v>35</v>
      </c>
      <c r="J5" t="s">
        <v>63</v>
      </c>
      <c r="K5" t="s">
        <v>39</v>
      </c>
    </row>
    <row r="6" spans="1:11" x14ac:dyDescent="0.2">
      <c r="A6">
        <v>5</v>
      </c>
      <c r="B6" t="s">
        <v>46</v>
      </c>
      <c r="C6" t="s">
        <v>61</v>
      </c>
      <c r="D6" t="s">
        <v>37</v>
      </c>
      <c r="E6" t="s">
        <v>35</v>
      </c>
      <c r="F6" t="s">
        <v>126</v>
      </c>
      <c r="G6" s="1" t="s">
        <v>146</v>
      </c>
      <c r="H6" t="s">
        <v>119</v>
      </c>
      <c r="I6" t="s">
        <v>35</v>
      </c>
      <c r="J6" t="s">
        <v>63</v>
      </c>
      <c r="K6" t="s">
        <v>39</v>
      </c>
    </row>
    <row r="7" spans="1:11" x14ac:dyDescent="0.2">
      <c r="A7">
        <v>6</v>
      </c>
      <c r="B7" t="s">
        <v>47</v>
      </c>
      <c r="C7" t="s">
        <v>47</v>
      </c>
      <c r="D7" t="s">
        <v>52</v>
      </c>
      <c r="E7" t="s">
        <v>35</v>
      </c>
      <c r="F7" t="s">
        <v>127</v>
      </c>
      <c r="G7" s="1" t="s">
        <v>147</v>
      </c>
      <c r="H7" t="s">
        <v>120</v>
      </c>
      <c r="I7" t="s">
        <v>35</v>
      </c>
      <c r="K7" t="s">
        <v>39</v>
      </c>
    </row>
    <row r="8" spans="1:11" x14ac:dyDescent="0.2">
      <c r="A8">
        <v>7</v>
      </c>
      <c r="B8" t="s">
        <v>48</v>
      </c>
      <c r="C8" t="s">
        <v>48</v>
      </c>
      <c r="D8" t="s">
        <v>38</v>
      </c>
      <c r="E8" t="s">
        <v>35</v>
      </c>
      <c r="F8" t="s">
        <v>128</v>
      </c>
      <c r="G8" s="1" t="s">
        <v>148</v>
      </c>
      <c r="H8" t="s">
        <v>121</v>
      </c>
      <c r="I8" t="s">
        <v>35</v>
      </c>
      <c r="K8" t="s">
        <v>39</v>
      </c>
    </row>
    <row r="9" spans="1:11" x14ac:dyDescent="0.2">
      <c r="A9">
        <v>8</v>
      </c>
      <c r="B9" t="s">
        <v>49</v>
      </c>
      <c r="C9" t="s">
        <v>49</v>
      </c>
      <c r="D9" t="s">
        <v>53</v>
      </c>
      <c r="E9" t="s">
        <v>35</v>
      </c>
      <c r="F9" t="s">
        <v>129</v>
      </c>
      <c r="G9" s="1" t="s">
        <v>149</v>
      </c>
      <c r="H9" t="s">
        <v>124</v>
      </c>
      <c r="I9" t="s">
        <v>35</v>
      </c>
      <c r="K9" t="s">
        <v>39</v>
      </c>
    </row>
    <row r="10" spans="1:11" x14ac:dyDescent="0.2">
      <c r="A10">
        <v>9</v>
      </c>
      <c r="B10" t="s">
        <v>50</v>
      </c>
      <c r="C10" t="s">
        <v>50</v>
      </c>
      <c r="D10" t="s">
        <v>54</v>
      </c>
      <c r="E10" t="s">
        <v>35</v>
      </c>
      <c r="F10" t="s">
        <v>130</v>
      </c>
      <c r="G10" s="1" t="s">
        <v>150</v>
      </c>
      <c r="H10" t="s">
        <v>122</v>
      </c>
      <c r="I10" t="s">
        <v>35</v>
      </c>
      <c r="K10" t="s">
        <v>39</v>
      </c>
    </row>
    <row r="11" spans="1:11" x14ac:dyDescent="0.2">
      <c r="A11">
        <v>10</v>
      </c>
      <c r="B11" t="s">
        <v>51</v>
      </c>
      <c r="C11" t="s">
        <v>51</v>
      </c>
      <c r="D11" t="s">
        <v>55</v>
      </c>
      <c r="E11" t="s">
        <v>35</v>
      </c>
      <c r="F11" t="s">
        <v>131</v>
      </c>
      <c r="G11" s="1" t="s">
        <v>151</v>
      </c>
      <c r="H11" t="s">
        <v>123</v>
      </c>
      <c r="I11" t="s">
        <v>36</v>
      </c>
      <c r="K11" t="s">
        <v>39</v>
      </c>
    </row>
  </sheetData>
  <autoFilter ref="A1:L11" xr:uid="{00000000-0009-0000-0000-000000000000}"/>
  <sortState xmlns:xlrd2="http://schemas.microsoft.com/office/spreadsheetml/2017/richdata2" ref="C3:AB11">
    <sortCondition ref="C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2143-3F46-479F-A8AF-0E754FFF9DA4}">
  <dimension ref="A1:AB12"/>
  <sheetViews>
    <sheetView zoomScale="130" zoomScaleNormal="130" workbookViewId="0">
      <selection activeCell="C16" sqref="C16"/>
    </sheetView>
  </sheetViews>
  <sheetFormatPr baseColWidth="10" defaultColWidth="8.5" defaultRowHeight="15" x14ac:dyDescent="0.2"/>
  <cols>
    <col min="1" max="2" width="8.5" style="4"/>
    <col min="3" max="3" width="31.1640625" style="4" customWidth="1"/>
    <col min="4" max="4" width="23.6640625" style="4" bestFit="1" customWidth="1"/>
    <col min="5" max="5" width="24.83203125" style="4" bestFit="1" customWidth="1"/>
    <col min="6" max="18" width="8.5" style="4"/>
    <col min="19" max="19" width="11" style="4" customWidth="1"/>
    <col min="20" max="28" width="19.83203125" style="4" customWidth="1"/>
    <col min="29" max="16384" width="8.5" style="4"/>
  </cols>
  <sheetData>
    <row r="1" spans="1:28" ht="15" customHeight="1" x14ac:dyDescent="0.2">
      <c r="T1" s="4">
        <v>3</v>
      </c>
      <c r="U1" s="4">
        <v>4</v>
      </c>
      <c r="V1" s="4">
        <v>5</v>
      </c>
      <c r="W1" s="4">
        <v>6</v>
      </c>
      <c r="X1" s="4">
        <v>7</v>
      </c>
      <c r="Y1" s="4">
        <v>8</v>
      </c>
      <c r="Z1" s="4">
        <v>9</v>
      </c>
      <c r="AA1" s="4">
        <v>10</v>
      </c>
      <c r="AB1" s="4">
        <v>2</v>
      </c>
    </row>
    <row r="2" spans="1:28" ht="15" customHeight="1" x14ac:dyDescent="0.2">
      <c r="A2" s="4" t="s">
        <v>195</v>
      </c>
      <c r="B2" s="4" t="s">
        <v>1</v>
      </c>
      <c r="C2" s="4" t="s">
        <v>3</v>
      </c>
      <c r="D2" s="4" t="s">
        <v>10</v>
      </c>
      <c r="E2" s="4" t="s">
        <v>197</v>
      </c>
      <c r="F2" s="4" t="s">
        <v>11</v>
      </c>
      <c r="G2" s="4" t="s">
        <v>12</v>
      </c>
      <c r="H2" s="4" t="s">
        <v>13</v>
      </c>
      <c r="I2" s="4" t="s">
        <v>83</v>
      </c>
      <c r="J2" s="4" t="s">
        <v>89</v>
      </c>
      <c r="K2" s="4" t="s">
        <v>44</v>
      </c>
      <c r="L2" s="4" t="s">
        <v>86</v>
      </c>
      <c r="M2" s="4" t="s">
        <v>85</v>
      </c>
      <c r="N2" s="4" t="s">
        <v>87</v>
      </c>
      <c r="O2" s="4" t="s">
        <v>84</v>
      </c>
      <c r="P2" s="4" t="s">
        <v>90</v>
      </c>
      <c r="Q2" s="4" t="s">
        <v>88</v>
      </c>
      <c r="R2" s="4" t="s">
        <v>14</v>
      </c>
      <c r="T2" s="4" t="s">
        <v>88</v>
      </c>
      <c r="U2" s="4" t="s">
        <v>83</v>
      </c>
      <c r="V2" s="4" t="s">
        <v>89</v>
      </c>
      <c r="W2" s="4" t="s">
        <v>87</v>
      </c>
      <c r="X2" s="4" t="s">
        <v>44</v>
      </c>
      <c r="Y2" s="4" t="s">
        <v>90</v>
      </c>
      <c r="Z2" s="4" t="s">
        <v>85</v>
      </c>
      <c r="AA2" s="4" t="s">
        <v>84</v>
      </c>
      <c r="AB2" s="4" t="s">
        <v>86</v>
      </c>
    </row>
    <row r="3" spans="1:28" ht="15" customHeight="1" x14ac:dyDescent="0.2">
      <c r="A3" s="4">
        <v>1</v>
      </c>
      <c r="B3" s="4" t="s">
        <v>45</v>
      </c>
      <c r="C3" s="4" t="s">
        <v>45</v>
      </c>
      <c r="D3" s="4" t="s">
        <v>40</v>
      </c>
      <c r="E3" s="4" t="s">
        <v>153</v>
      </c>
      <c r="F3" s="4" t="s">
        <v>57</v>
      </c>
      <c r="G3" s="4" t="s">
        <v>57</v>
      </c>
      <c r="H3" s="4" t="s">
        <v>57</v>
      </c>
      <c r="I3" s="4">
        <v>1</v>
      </c>
      <c r="K3" s="4">
        <v>1</v>
      </c>
      <c r="L3" s="4">
        <v>1</v>
      </c>
      <c r="N3" s="4">
        <v>1</v>
      </c>
      <c r="R3" s="4">
        <f t="shared" ref="R3:R12" si="0">SUM(I3:Q3)</f>
        <v>4</v>
      </c>
      <c r="T3" s="4" t="str">
        <f>IF(Q3=1,VLOOKUP($E3,'Group members'!$A$2:$J$4,'Business Processes'!T$1,FALSE),"")</f>
        <v/>
      </c>
      <c r="U3" s="4" t="str">
        <f>IF(I3=1,VLOOKUP($E3,'Group members'!$A$2:$J$4,'Business Processes'!U$1,FALSE),"")</f>
        <v>John Anderson</v>
      </c>
      <c r="V3" s="4" t="str">
        <f>IF(J3=1,VLOOKUP($E3,'Group members'!$A$2:$J$4,'Business Processes'!V$1,FALSE),"")</f>
        <v/>
      </c>
      <c r="W3" s="4" t="str">
        <f>IF(N3=1,VLOOKUP($E3,'Group members'!$A$2:$J$4,'Business Processes'!W$1,FALSE),"")</f>
        <v>Michael Fowkes</v>
      </c>
      <c r="X3" s="4" t="str">
        <f>IF(K3=1,VLOOKUP($E3,'Group members'!$A$2:$J$4,'Business Processes'!X$1,FALSE),"")</f>
        <v>Luigi Pennini</v>
      </c>
      <c r="Y3" s="4" t="str">
        <f>IF(P3=1,VLOOKUP($E3,'Group members'!$A$2:$J$4,'Business Processes'!Y$1,FALSE),"")</f>
        <v/>
      </c>
      <c r="Z3" s="4" t="str">
        <f>IF(M3=1,VLOOKUP($E3,'Group members'!$A$2:$J$4,'Business Processes'!Z$1,FALSE),"")</f>
        <v/>
      </c>
      <c r="AA3" s="4" t="str">
        <f>IF(O3=1,VLOOKUP($E3,'Group members'!$A$2:$J$4,'Business Processes'!AA$1,FALSE),"")</f>
        <v/>
      </c>
      <c r="AB3" s="4" t="str">
        <f>IF(L3=1,VLOOKUP($E3,'Group members'!$A$2:$J$8,'Business Processes'!AB$1,FALSE),"")</f>
        <v>Anne-Marie Lavigne</v>
      </c>
    </row>
    <row r="4" spans="1:28" ht="15" customHeight="1" x14ac:dyDescent="0.2">
      <c r="A4" s="4">
        <v>2</v>
      </c>
      <c r="B4" s="4" t="s">
        <v>46</v>
      </c>
      <c r="C4" s="4" t="s">
        <v>58</v>
      </c>
      <c r="D4" s="4" t="s">
        <v>41</v>
      </c>
      <c r="E4" s="4" t="s">
        <v>196</v>
      </c>
      <c r="F4" s="4" t="s">
        <v>57</v>
      </c>
      <c r="G4" s="4" t="s">
        <v>65</v>
      </c>
      <c r="H4" s="4" t="s">
        <v>57</v>
      </c>
      <c r="I4" s="4">
        <v>1</v>
      </c>
      <c r="L4" s="4">
        <v>1</v>
      </c>
      <c r="M4" s="4">
        <v>1</v>
      </c>
      <c r="O4" s="4">
        <v>1</v>
      </c>
      <c r="P4" s="4">
        <v>1</v>
      </c>
      <c r="Q4" s="4">
        <v>1</v>
      </c>
      <c r="R4" s="4">
        <f t="shared" si="0"/>
        <v>6</v>
      </c>
      <c r="T4" s="4" t="str">
        <f>IF(Q4=1,VLOOKUP($E4,'Group members'!$A$2:$J$4,'Business Processes'!T$1,FALSE),"")</f>
        <v>Lourdes García</v>
      </c>
      <c r="U4" s="4" t="str">
        <f>IF(I4=1,VLOOKUP($E4,'Group members'!$A$2:$J$4,'Business Processes'!U$1,FALSE),"")</f>
        <v>Mary Johnson, Liam Chambers</v>
      </c>
      <c r="V4" s="4" t="str">
        <f>IF(J4=1,VLOOKUP($E4,'Group members'!$A$2:$J$4,'Business Processes'!V$1,FALSE),"")</f>
        <v/>
      </c>
      <c r="W4" s="4" t="str">
        <f>IF(N4=1,VLOOKUP($E4,'Group members'!$A$2:$J$4,'Business Processes'!W$1,FALSE),"")</f>
        <v/>
      </c>
      <c r="X4" s="4" t="str">
        <f>IF(K4=1,VLOOKUP($E4,'Group members'!$A$2:$J$4,'Business Processes'!X$1,FALSE),"")</f>
        <v/>
      </c>
      <c r="Y4" s="4" t="str">
        <f>IF(P4=1,VLOOKUP($E4,'Group members'!$A$2:$J$4,'Business Processes'!Y$1,FALSE),"")</f>
        <v>Ann Lewis</v>
      </c>
      <c r="Z4" s="4" t="str">
        <f>IF(M4=1,VLOOKUP($E4,'Group members'!$A$2:$J$4,'Business Processes'!Z$1,FALSE),"")</f>
        <v>Fernando Henriques</v>
      </c>
      <c r="AA4" s="4" t="str">
        <f>IF(O4=1,VLOOKUP($E4,'Group members'!$A$2:$J$4,'Business Processes'!AA$1,FALSE),"")</f>
        <v>Ronald de Wit</v>
      </c>
      <c r="AB4" s="4" t="str">
        <f>IF(L4=1,VLOOKUP($E4,'Group members'!$A$2:$J$8,'Business Processes'!AB$1,FALSE),"")</f>
        <v>Jean-Christophe Moulin</v>
      </c>
    </row>
    <row r="5" spans="1:28" ht="15" customHeight="1" x14ac:dyDescent="0.2">
      <c r="A5" s="4">
        <v>3</v>
      </c>
      <c r="B5" s="4" t="s">
        <v>46</v>
      </c>
      <c r="C5" s="4" t="s">
        <v>59</v>
      </c>
      <c r="D5" s="4" t="s">
        <v>41</v>
      </c>
      <c r="E5" s="4" t="s">
        <v>196</v>
      </c>
      <c r="F5" s="4" t="s">
        <v>64</v>
      </c>
      <c r="G5" s="4" t="s">
        <v>65</v>
      </c>
      <c r="H5" s="4" t="s">
        <v>65</v>
      </c>
      <c r="I5" s="4">
        <v>1</v>
      </c>
      <c r="J5" s="4">
        <v>1</v>
      </c>
      <c r="L5" s="4">
        <v>1</v>
      </c>
      <c r="O5" s="4">
        <v>1</v>
      </c>
      <c r="R5" s="4">
        <f t="shared" si="0"/>
        <v>4</v>
      </c>
      <c r="T5" s="4" t="str">
        <f>IF(Q5=1,VLOOKUP($E5,'Group members'!$A$2:$J$4,'Business Processes'!T$1,FALSE),"")</f>
        <v/>
      </c>
      <c r="U5" s="4" t="str">
        <f>IF(I5=1,VLOOKUP($E5,'Group members'!$A$2:$J$4,'Business Processes'!U$1,FALSE),"")</f>
        <v>Mary Johnson, Liam Chambers</v>
      </c>
      <c r="V5" s="4" t="str">
        <f>IF(J5=1,VLOOKUP($E5,'Group members'!$A$2:$J$4,'Business Processes'!V$1,FALSE),"")</f>
        <v>Jaco Van Dijk</v>
      </c>
      <c r="W5" s="4" t="str">
        <f>IF(N5=1,VLOOKUP($E5,'Group members'!$A$2:$J$4,'Business Processes'!W$1,FALSE),"")</f>
        <v/>
      </c>
      <c r="X5" s="4" t="str">
        <f>IF(K5=1,VLOOKUP($E5,'Group members'!$A$2:$J$4,'Business Processes'!X$1,FALSE),"")</f>
        <v/>
      </c>
      <c r="Y5" s="4" t="str">
        <f>IF(P5=1,VLOOKUP($E5,'Group members'!$A$2:$J$4,'Business Processes'!Y$1,FALSE),"")</f>
        <v/>
      </c>
      <c r="Z5" s="4" t="str">
        <f>IF(M5=1,VLOOKUP($E5,'Group members'!$A$2:$J$4,'Business Processes'!Z$1,FALSE),"")</f>
        <v/>
      </c>
      <c r="AA5" s="4" t="str">
        <f>IF(O5=1,VLOOKUP($E5,'Group members'!$A$2:$J$4,'Business Processes'!AA$1,FALSE),"")</f>
        <v>Ronald de Wit</v>
      </c>
      <c r="AB5" s="4" t="str">
        <f>IF(L5=1,VLOOKUP($E5,'Group members'!$A$2:$J$8,'Business Processes'!AB$1,FALSE),"")</f>
        <v>Jean-Christophe Moulin</v>
      </c>
    </row>
    <row r="6" spans="1:28" ht="15" customHeight="1" x14ac:dyDescent="0.2">
      <c r="A6" s="4">
        <v>4</v>
      </c>
      <c r="B6" s="4" t="s">
        <v>46</v>
      </c>
      <c r="C6" s="4" t="s">
        <v>60</v>
      </c>
      <c r="D6" s="4" t="s">
        <v>41</v>
      </c>
      <c r="E6" s="4" t="s">
        <v>196</v>
      </c>
      <c r="F6" s="4" t="s">
        <v>65</v>
      </c>
      <c r="G6" s="4" t="s">
        <v>65</v>
      </c>
      <c r="H6" s="4" t="s">
        <v>57</v>
      </c>
      <c r="I6" s="4">
        <v>1</v>
      </c>
      <c r="K6" s="4">
        <v>1</v>
      </c>
      <c r="O6" s="4">
        <v>1</v>
      </c>
      <c r="P6" s="4">
        <v>1</v>
      </c>
      <c r="R6" s="4">
        <f t="shared" si="0"/>
        <v>4</v>
      </c>
      <c r="T6" s="4" t="str">
        <f>IF(Q6=1,VLOOKUP($E6,'Group members'!$A$2:$J$4,'Business Processes'!T$1,FALSE),"")</f>
        <v/>
      </c>
      <c r="U6" s="4" t="str">
        <f>IF(I6=1,VLOOKUP($E6,'Group members'!$A$2:$J$4,'Business Processes'!U$1,FALSE),"")</f>
        <v>Mary Johnson, Liam Chambers</v>
      </c>
      <c r="V6" s="4" t="str">
        <f>IF(J6=1,VLOOKUP($E6,'Group members'!$A$2:$J$4,'Business Processes'!V$1,FALSE),"")</f>
        <v/>
      </c>
      <c r="W6" s="4" t="str">
        <f>IF(N6=1,VLOOKUP($E6,'Group members'!$A$2:$J$4,'Business Processes'!W$1,FALSE),"")</f>
        <v/>
      </c>
      <c r="X6" s="4" t="str">
        <f>IF(K6=1,VLOOKUP($E6,'Group members'!$A$2:$J$4,'Business Processes'!X$1,FALSE),"")</f>
        <v>Massimo Sigismondi</v>
      </c>
      <c r="Y6" s="4" t="str">
        <f>IF(P6=1,VLOOKUP($E6,'Group members'!$A$2:$J$4,'Business Processes'!Y$1,FALSE),"")</f>
        <v>Ann Lewis</v>
      </c>
      <c r="Z6" s="4" t="str">
        <f>IF(M6=1,VLOOKUP($E6,'Group members'!$A$2:$J$4,'Business Processes'!Z$1,FALSE),"")</f>
        <v/>
      </c>
      <c r="AA6" s="4" t="str">
        <f>IF(O6=1,VLOOKUP($E6,'Group members'!$A$2:$J$4,'Business Processes'!AA$1,FALSE),"")</f>
        <v>Ronald de Wit</v>
      </c>
      <c r="AB6" s="4" t="str">
        <f>IF(L6=1,VLOOKUP($E6,'Group members'!$A$2:$J$8,'Business Processes'!AB$1,FALSE),"")</f>
        <v/>
      </c>
    </row>
    <row r="7" spans="1:28" ht="15" customHeight="1" x14ac:dyDescent="0.2">
      <c r="A7" s="4">
        <v>5</v>
      </c>
      <c r="B7" s="4" t="s">
        <v>46</v>
      </c>
      <c r="C7" s="4" t="s">
        <v>61</v>
      </c>
      <c r="D7" s="4" t="s">
        <v>41</v>
      </c>
      <c r="E7" s="4" t="s">
        <v>196</v>
      </c>
      <c r="F7" s="4" t="s">
        <v>65</v>
      </c>
      <c r="G7" s="4" t="s">
        <v>65</v>
      </c>
      <c r="H7" s="4" t="s">
        <v>65</v>
      </c>
      <c r="I7" s="4">
        <v>1</v>
      </c>
      <c r="J7" s="4">
        <v>1</v>
      </c>
      <c r="L7" s="4">
        <v>1</v>
      </c>
      <c r="M7" s="4">
        <v>1</v>
      </c>
      <c r="O7" s="4">
        <v>1</v>
      </c>
      <c r="R7" s="4">
        <f t="shared" si="0"/>
        <v>5</v>
      </c>
      <c r="T7" s="4" t="str">
        <f>IF(Q7=1,VLOOKUP($E7,'Group members'!$A$2:$J$4,'Business Processes'!T$1,FALSE),"")</f>
        <v/>
      </c>
      <c r="U7" s="4" t="str">
        <f>IF(I7=1,VLOOKUP($E7,'Group members'!$A$2:$J$4,'Business Processes'!U$1,FALSE),"")</f>
        <v>Mary Johnson, Liam Chambers</v>
      </c>
      <c r="V7" s="4" t="str">
        <f>IF(J7=1,VLOOKUP($E7,'Group members'!$A$2:$J$4,'Business Processes'!V$1,FALSE),"")</f>
        <v>Jaco Van Dijk</v>
      </c>
      <c r="W7" s="4" t="str">
        <f>IF(N7=1,VLOOKUP($E7,'Group members'!$A$2:$J$4,'Business Processes'!W$1,FALSE),"")</f>
        <v/>
      </c>
      <c r="X7" s="4" t="str">
        <f>IF(K7=1,VLOOKUP($E7,'Group members'!$A$2:$J$4,'Business Processes'!X$1,FALSE),"")</f>
        <v/>
      </c>
      <c r="Y7" s="4" t="str">
        <f>IF(P7=1,VLOOKUP($E7,'Group members'!$A$2:$J$4,'Business Processes'!Y$1,FALSE),"")</f>
        <v/>
      </c>
      <c r="Z7" s="4" t="str">
        <f>IF(M7=1,VLOOKUP($E7,'Group members'!$A$2:$J$4,'Business Processes'!Z$1,FALSE),"")</f>
        <v>Fernando Henriques</v>
      </c>
      <c r="AA7" s="4" t="str">
        <f>IF(O7=1,VLOOKUP($E7,'Group members'!$A$2:$J$4,'Business Processes'!AA$1,FALSE),"")</f>
        <v>Ronald de Wit</v>
      </c>
      <c r="AB7" s="4" t="str">
        <f>IF(L7=1,VLOOKUP($E7,'Group members'!$A$2:$J$8,'Business Processes'!AB$1,FALSE),"")</f>
        <v>Jean-Christophe Moulin</v>
      </c>
    </row>
    <row r="8" spans="1:28" ht="15" customHeight="1" x14ac:dyDescent="0.2">
      <c r="A8" s="4">
        <v>6</v>
      </c>
      <c r="B8" s="4" t="s">
        <v>47</v>
      </c>
      <c r="C8" s="4" t="s">
        <v>47</v>
      </c>
      <c r="D8" s="4" t="s">
        <v>42</v>
      </c>
      <c r="E8" s="4" t="s">
        <v>154</v>
      </c>
      <c r="F8" s="4" t="s">
        <v>64</v>
      </c>
      <c r="G8" s="4" t="s">
        <v>57</v>
      </c>
      <c r="H8" s="4" t="s">
        <v>57</v>
      </c>
      <c r="I8" s="4">
        <v>1</v>
      </c>
      <c r="O8" s="4">
        <v>1</v>
      </c>
      <c r="Q8" s="4">
        <v>1</v>
      </c>
      <c r="R8" s="4">
        <f t="shared" si="0"/>
        <v>3</v>
      </c>
      <c r="T8" s="4" t="str">
        <f>IF(Q8=1,VLOOKUP($E8,'Group members'!$A$2:$J$4,'Business Processes'!T$1,FALSE),"")</f>
        <v>Marta Fernández, Adela Sánchez</v>
      </c>
      <c r="U8" s="4" t="str">
        <f>IF(I8=1,VLOOKUP($E8,'Group members'!$A$2:$J$4,'Business Processes'!U$1,FALSE),"")</f>
        <v>Joanne Wright</v>
      </c>
      <c r="V8" s="4" t="str">
        <f>IF(J8=1,VLOOKUP($E8,'Group members'!$A$2:$J$4,'Business Processes'!V$1,FALSE),"")</f>
        <v/>
      </c>
      <c r="W8" s="4" t="str">
        <f>IF(N8=1,VLOOKUP($E8,'Group members'!$A$2:$J$4,'Business Processes'!W$1,FALSE),"")</f>
        <v/>
      </c>
      <c r="X8" s="4" t="str">
        <f>IF(K8=1,VLOOKUP($E8,'Group members'!$A$2:$J$4,'Business Processes'!X$1,FALSE),"")</f>
        <v/>
      </c>
      <c r="Y8" s="4" t="str">
        <f>IF(P8=1,VLOOKUP($E8,'Group members'!$A$2:$J$4,'Business Processes'!Y$1,FALSE),"")</f>
        <v/>
      </c>
      <c r="Z8" s="4" t="str">
        <f>IF(M8=1,VLOOKUP($E8,'Group members'!$A$2:$J$4,'Business Processes'!Z$1,FALSE),"")</f>
        <v/>
      </c>
      <c r="AA8" s="4" t="str">
        <f>IF(O8=1,VLOOKUP($E8,'Group members'!$A$2:$J$4,'Business Processes'!AA$1,FALSE),"")</f>
        <v>Sylvia Hanssen</v>
      </c>
      <c r="AB8" s="4" t="str">
        <f>IF(L8=1,VLOOKUP($E8,'Group members'!$A$2:$J$8,'Business Processes'!AB$1,FALSE),"")</f>
        <v/>
      </c>
    </row>
    <row r="9" spans="1:28" ht="15" customHeight="1" x14ac:dyDescent="0.2">
      <c r="A9" s="4">
        <v>7</v>
      </c>
      <c r="B9" s="4" t="s">
        <v>48</v>
      </c>
      <c r="C9" s="4" t="s">
        <v>48</v>
      </c>
      <c r="D9" s="4" t="s">
        <v>66</v>
      </c>
      <c r="E9" s="4" t="s">
        <v>155</v>
      </c>
      <c r="F9" s="4" t="s">
        <v>57</v>
      </c>
      <c r="G9" s="4" t="s">
        <v>57</v>
      </c>
      <c r="H9" s="4" t="s">
        <v>57</v>
      </c>
      <c r="I9" s="4">
        <v>1</v>
      </c>
      <c r="K9" s="4">
        <v>1</v>
      </c>
      <c r="N9" s="4">
        <v>1</v>
      </c>
      <c r="P9" s="4">
        <v>1</v>
      </c>
      <c r="R9" s="4">
        <f t="shared" si="0"/>
        <v>4</v>
      </c>
      <c r="T9" s="4" t="str">
        <f>IF(Q9=1,VLOOKUP($E9,'Group members'!$A$2:$J$8,'Business Processes'!T$1,FALSE),"")</f>
        <v/>
      </c>
      <c r="U9" s="4" t="str">
        <f>IF(I9=1,VLOOKUP($E9,'Group members'!$A$2:$J$8,'Business Processes'!U$1,FALSE),"")</f>
        <v>Elisabeth William</v>
      </c>
      <c r="V9" s="4" t="str">
        <f>IF(J9=1,VLOOKUP($E9,'Group members'!$A$2:$J$8,'Business Processes'!V$1,FALSE),"")</f>
        <v/>
      </c>
      <c r="W9" s="4" t="str">
        <f>IF(N9=1,VLOOKUP($E9,'Group members'!$A$2:$J$8,'Business Processes'!W$1,FALSE),"")</f>
        <v>Aita Gertsch</v>
      </c>
      <c r="X9" s="4" t="str">
        <f>IF(K9=1,VLOOKUP($E9,'Group members'!$A$2:$J$8,'Business Processes'!X$1,FALSE),"")</f>
        <v>Fiorenzo Daza</v>
      </c>
      <c r="Y9" s="4" t="str">
        <f>IF(P9=1,VLOOKUP($E9,'Group members'!$A$2:$J$8,'Business Processes'!Y$1,FALSE),"")</f>
        <v>Daire O'Flanagan</v>
      </c>
      <c r="Z9" s="4" t="str">
        <f>IF(M9=1,VLOOKUP($E9,'Group members'!$A$2:$J$8,'Business Processes'!Z$1,FALSE),"")</f>
        <v/>
      </c>
      <c r="AA9" s="4" t="str">
        <f>IF(O9=1,VLOOKUP($E9,'Group members'!$A$2:$J$8,'Business Processes'!AA$1,FALSE),"")</f>
        <v/>
      </c>
      <c r="AB9" s="4" t="str">
        <f>IF(L9=1,VLOOKUP($E9,'Group members'!$A$2:$J$8,'Business Processes'!AB$1,FALSE),"")</f>
        <v/>
      </c>
    </row>
    <row r="10" spans="1:28" ht="15" customHeight="1" x14ac:dyDescent="0.2">
      <c r="A10" s="4">
        <v>8</v>
      </c>
      <c r="B10" s="4" t="s">
        <v>49</v>
      </c>
      <c r="C10" s="4" t="s">
        <v>49</v>
      </c>
      <c r="D10" s="4" t="s">
        <v>67</v>
      </c>
      <c r="E10" s="4" t="s">
        <v>156</v>
      </c>
      <c r="F10" s="4" t="s">
        <v>64</v>
      </c>
      <c r="G10" s="4" t="s">
        <v>65</v>
      </c>
      <c r="H10" s="4" t="s">
        <v>57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f t="shared" si="0"/>
        <v>9</v>
      </c>
      <c r="T10" s="4" t="str">
        <f>IF(Q10=1,VLOOKUP($E10,'Group members'!$A$2:$J$8,'Business Processes'!T$1,FALSE),"")</f>
        <v>Facundo Prieto</v>
      </c>
      <c r="U10" s="4" t="str">
        <f>IF(I10=1,VLOOKUP($E10,'Group members'!$A$2:$J$8,'Business Processes'!U$1,FALSE),"")</f>
        <v>Edie Drake</v>
      </c>
      <c r="V10" s="4" t="str">
        <f>IF(J10=1,VLOOKUP($E10,'Group members'!$A$2:$J$8,'Business Processes'!V$1,FALSE),"")</f>
        <v>Dorian Carton</v>
      </c>
      <c r="W10" s="4" t="str">
        <f>IF(N10=1,VLOOKUP($E10,'Group members'!$A$2:$J$8,'Business Processes'!W$1,FALSE),"")</f>
        <v>Dalina Burgdorfer</v>
      </c>
      <c r="X10" s="4" t="str">
        <f>IF(K10=1,VLOOKUP($E10,'Group members'!$A$2:$J$8,'Business Processes'!X$1,FALSE),"")</f>
        <v>Alighiero Percoco</v>
      </c>
      <c r="Y10" s="4" t="str">
        <f>IF(P10=1,VLOOKUP($E10,'Group members'!$A$2:$J$8,'Business Processes'!Y$1,FALSE),"")</f>
        <v>Elijah Guinness</v>
      </c>
      <c r="Z10" s="4" t="str">
        <f>IF(M10=1,VLOOKUP($E10,'Group members'!$A$2:$J$8,'Business Processes'!Z$1,FALSE),"")</f>
        <v>Leocádia Costa</v>
      </c>
      <c r="AA10" s="4" t="str">
        <f>IF(O10=1,VLOOKUP($E10,'Group members'!$A$2:$J$8,'Business Processes'!AA$1,FALSE),"")</f>
        <v>Sjaak Venebrugge</v>
      </c>
      <c r="AB10" s="4" t="str">
        <f>IF(L10=1,VLOOKUP($E10,'Group members'!$A$2:$J$8,'Business Processes'!AB$1,FALSE),"")</f>
        <v>Jean-Paul Génin</v>
      </c>
    </row>
    <row r="11" spans="1:28" ht="15" customHeight="1" x14ac:dyDescent="0.2">
      <c r="A11" s="4">
        <v>9</v>
      </c>
      <c r="B11" s="4" t="s">
        <v>50</v>
      </c>
      <c r="C11" s="4" t="s">
        <v>50</v>
      </c>
      <c r="D11" s="4" t="s">
        <v>41</v>
      </c>
      <c r="E11" s="4" t="s">
        <v>157</v>
      </c>
      <c r="F11" s="4" t="s">
        <v>57</v>
      </c>
      <c r="G11" s="4" t="s">
        <v>64</v>
      </c>
      <c r="H11" s="4" t="s">
        <v>57</v>
      </c>
      <c r="I11" s="4">
        <v>1</v>
      </c>
      <c r="J11" s="4">
        <v>1</v>
      </c>
      <c r="L11" s="4">
        <v>1</v>
      </c>
      <c r="M11" s="4">
        <v>1</v>
      </c>
      <c r="P11" s="4">
        <v>1</v>
      </c>
      <c r="R11" s="4">
        <f t="shared" si="0"/>
        <v>5</v>
      </c>
      <c r="T11" s="4" t="str">
        <f>IF(Q11=1,VLOOKUP($E11,'Group members'!$A$2:$J$8,'Business Processes'!T$1,FALSE),"")</f>
        <v/>
      </c>
      <c r="U11" s="4" t="str">
        <f>IF(I11=1,VLOOKUP($E11,'Group members'!$A$2:$J$8,'Business Processes'!U$1,FALSE),"")</f>
        <v>Shayla Moss</v>
      </c>
      <c r="V11" s="4" t="str">
        <f>IF(J11=1,VLOOKUP($E11,'Group members'!$A$2:$J$8,'Business Processes'!V$1,FALSE),"")</f>
        <v>Jérémie Marissens</v>
      </c>
      <c r="W11" s="4" t="str">
        <f>IF(N11=1,VLOOKUP($E11,'Group members'!$A$2:$J$8,'Business Processes'!W$1,FALSE),"")</f>
        <v/>
      </c>
      <c r="X11" s="4" t="str">
        <f>IF(K11=1,VLOOKUP($E11,'Group members'!$A$2:$J$8,'Business Processes'!X$1,FALSE),"")</f>
        <v/>
      </c>
      <c r="Y11" s="4" t="str">
        <f>IF(P11=1,VLOOKUP($E11,'Group members'!$A$2:$J$8,'Business Processes'!Y$1,FALSE),"")</f>
        <v>Zac O'Friel</v>
      </c>
      <c r="Z11" s="4" t="str">
        <f>IF(M11=1,VLOOKUP($E11,'Group members'!$A$2:$J$8,'Business Processes'!Z$1,FALSE),"")</f>
        <v>Letícia Pires</v>
      </c>
      <c r="AA11" s="4" t="str">
        <f>IF(O11=1,VLOOKUP($E11,'Group members'!$A$2:$J$8,'Business Processes'!AA$1,FALSE),"")</f>
        <v/>
      </c>
      <c r="AB11" s="4" t="str">
        <f>IF(L11=1,VLOOKUP($E11,'Group members'!$A$2:$J$8,'Business Processes'!AB$1,FALSE),"")</f>
        <v>Iseult Girard</v>
      </c>
    </row>
    <row r="12" spans="1:28" ht="15" customHeight="1" x14ac:dyDescent="0.2">
      <c r="A12" s="4">
        <v>10</v>
      </c>
      <c r="B12" s="4" t="s">
        <v>51</v>
      </c>
      <c r="C12" s="4" t="s">
        <v>51</v>
      </c>
      <c r="D12" s="4" t="s">
        <v>43</v>
      </c>
      <c r="E12" s="4" t="s">
        <v>158</v>
      </c>
      <c r="F12" s="4" t="s">
        <v>64</v>
      </c>
      <c r="G12" s="4" t="s">
        <v>64</v>
      </c>
      <c r="H12" s="4" t="s">
        <v>57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f t="shared" si="0"/>
        <v>9</v>
      </c>
      <c r="T12" s="4" t="str">
        <f>IF(Q12=1,VLOOKUP($E12,'Group members'!$A$2:$J$8,'Business Processes'!T$1,FALSE),"")</f>
        <v>Laureano Velasco</v>
      </c>
      <c r="U12" s="4" t="str">
        <f>IF(I12=1,VLOOKUP($E12,'Group members'!$A$2:$J$8,'Business Processes'!U$1,FALSE),"")</f>
        <v>Patricia Mosley</v>
      </c>
      <c r="V12" s="4" t="str">
        <f>IF(J12=1,VLOOKUP($E12,'Group members'!$A$2:$J$8,'Business Processes'!V$1,FALSE),"")</f>
        <v>Jonathan Dervaux</v>
      </c>
      <c r="W12" s="4" t="str">
        <f>IF(N12=1,VLOOKUP($E12,'Group members'!$A$2:$J$8,'Business Processes'!W$1,FALSE),"")</f>
        <v>Mathilde Dettling</v>
      </c>
      <c r="X12" s="4" t="str">
        <f>IF(K12=1,VLOOKUP($E12,'Group members'!$A$2:$J$8,'Business Processes'!X$1,FALSE),"")</f>
        <v>Sabele Vivenzio</v>
      </c>
      <c r="Y12" s="4" t="str">
        <f>IF(P12=1,VLOOKUP($E12,'Group members'!$A$2:$J$8,'Business Processes'!Y$1,FALSE),"")</f>
        <v>Aleksander Muldowney</v>
      </c>
      <c r="Z12" s="4" t="str">
        <f>IF(M12=1,VLOOKUP($E12,'Group members'!$A$2:$J$8,'Business Processes'!Z$1,FALSE),"")</f>
        <v>Custódia Valente</v>
      </c>
      <c r="AA12" s="4" t="str">
        <f>IF(O12=1,VLOOKUP($E12,'Group members'!$A$2:$J$8,'Business Processes'!AA$1,FALSE),"")</f>
        <v>Walter van den Kerkdijk</v>
      </c>
      <c r="AB12" s="4" t="str">
        <f>IF(L12=1,VLOOKUP($E12,'Group members'!$A$2:$J$8,'Business Processes'!AB$1,FALSE),"")</f>
        <v>Sarah Astier</v>
      </c>
    </row>
  </sheetData>
  <dataValidations count="1">
    <dataValidation type="list" allowBlank="1" showInputMessage="1" showErrorMessage="1" sqref="D3:D12" xr:uid="{CD3F3F56-B166-4B34-8509-35598C50881B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="130" zoomScaleNormal="130"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F58" sqref="F58"/>
    </sheetView>
  </sheetViews>
  <sheetFormatPr baseColWidth="10" defaultColWidth="8.5" defaultRowHeight="15" x14ac:dyDescent="0.2"/>
  <cols>
    <col min="2" max="2" width="21.6640625" customWidth="1"/>
    <col min="3" max="3" width="30.5" bestFit="1" customWidth="1"/>
    <col min="4" max="4" width="7.1640625" customWidth="1"/>
    <col min="5" max="5" width="11.5" bestFit="1" customWidth="1"/>
    <col min="6" max="6" width="22.33203125" bestFit="1" customWidth="1"/>
    <col min="7" max="7" width="26.1640625" bestFit="1" customWidth="1"/>
    <col min="8" max="8" width="14.6640625" customWidth="1"/>
    <col min="10" max="10" width="38.83203125" bestFit="1" customWidth="1"/>
  </cols>
  <sheetData>
    <row r="1" spans="1:8" x14ac:dyDescent="0.2">
      <c r="A1" t="s">
        <v>117</v>
      </c>
      <c r="B1" t="s">
        <v>1</v>
      </c>
      <c r="C1" t="s">
        <v>3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">
      <c r="A2">
        <v>1</v>
      </c>
      <c r="B2" t="s">
        <v>45</v>
      </c>
      <c r="C2" t="s">
        <v>45</v>
      </c>
      <c r="D2" t="s">
        <v>35</v>
      </c>
      <c r="F2" t="s">
        <v>57</v>
      </c>
      <c r="G2" t="s">
        <v>57</v>
      </c>
      <c r="H2" s="2">
        <v>0.95</v>
      </c>
    </row>
    <row r="3" spans="1:8" x14ac:dyDescent="0.2">
      <c r="A3">
        <v>2</v>
      </c>
      <c r="B3" t="s">
        <v>46</v>
      </c>
      <c r="C3" t="s">
        <v>58</v>
      </c>
      <c r="D3" t="s">
        <v>36</v>
      </c>
      <c r="F3" t="s">
        <v>65</v>
      </c>
      <c r="G3" t="s">
        <v>65</v>
      </c>
      <c r="H3" s="2">
        <v>0.8</v>
      </c>
    </row>
    <row r="4" spans="1:8" x14ac:dyDescent="0.2">
      <c r="A4">
        <v>3</v>
      </c>
      <c r="B4" t="s">
        <v>46</v>
      </c>
      <c r="C4" t="s">
        <v>59</v>
      </c>
      <c r="D4" t="s">
        <v>36</v>
      </c>
      <c r="F4" t="s">
        <v>65</v>
      </c>
      <c r="G4" t="s">
        <v>65</v>
      </c>
      <c r="H4" s="2">
        <v>0.8</v>
      </c>
    </row>
    <row r="5" spans="1:8" x14ac:dyDescent="0.2">
      <c r="A5">
        <v>4</v>
      </c>
      <c r="B5" t="s">
        <v>46</v>
      </c>
      <c r="C5" t="s">
        <v>60</v>
      </c>
      <c r="D5" t="s">
        <v>36</v>
      </c>
      <c r="F5" t="s">
        <v>65</v>
      </c>
      <c r="G5" t="s">
        <v>65</v>
      </c>
      <c r="H5" s="2">
        <v>0.8</v>
      </c>
    </row>
    <row r="6" spans="1:8" x14ac:dyDescent="0.2">
      <c r="A6">
        <v>5</v>
      </c>
      <c r="B6" t="s">
        <v>46</v>
      </c>
      <c r="C6" t="s">
        <v>61</v>
      </c>
      <c r="D6" t="s">
        <v>36</v>
      </c>
      <c r="F6" t="s">
        <v>65</v>
      </c>
      <c r="G6" t="s">
        <v>64</v>
      </c>
      <c r="H6" s="2">
        <v>0.8</v>
      </c>
    </row>
    <row r="7" spans="1:8" x14ac:dyDescent="0.2">
      <c r="A7">
        <v>6</v>
      </c>
      <c r="B7" t="s">
        <v>47</v>
      </c>
      <c r="C7" t="s">
        <v>47</v>
      </c>
      <c r="D7" t="s">
        <v>35</v>
      </c>
      <c r="F7" t="s">
        <v>57</v>
      </c>
      <c r="G7" t="s">
        <v>57</v>
      </c>
      <c r="H7" s="2">
        <v>0.9</v>
      </c>
    </row>
    <row r="8" spans="1:8" x14ac:dyDescent="0.2">
      <c r="A8">
        <v>7</v>
      </c>
      <c r="B8" t="s">
        <v>48</v>
      </c>
      <c r="C8" t="s">
        <v>48</v>
      </c>
      <c r="D8" t="s">
        <v>35</v>
      </c>
      <c r="F8" t="s">
        <v>57</v>
      </c>
      <c r="G8" t="s">
        <v>57</v>
      </c>
      <c r="H8" s="2">
        <v>0.95</v>
      </c>
    </row>
    <row r="9" spans="1:8" x14ac:dyDescent="0.2">
      <c r="A9">
        <v>8</v>
      </c>
      <c r="B9" t="s">
        <v>49</v>
      </c>
      <c r="C9" t="s">
        <v>49</v>
      </c>
      <c r="D9" t="s">
        <v>35</v>
      </c>
      <c r="F9" t="s">
        <v>57</v>
      </c>
      <c r="G9" t="s">
        <v>57</v>
      </c>
      <c r="H9" s="2">
        <v>0.95</v>
      </c>
    </row>
    <row r="10" spans="1:8" x14ac:dyDescent="0.2">
      <c r="A10">
        <v>9</v>
      </c>
      <c r="B10" t="s">
        <v>50</v>
      </c>
      <c r="C10" t="s">
        <v>50</v>
      </c>
      <c r="D10" t="s">
        <v>36</v>
      </c>
      <c r="F10" t="s">
        <v>57</v>
      </c>
      <c r="G10" t="s">
        <v>57</v>
      </c>
      <c r="H10" s="2">
        <v>0.9</v>
      </c>
    </row>
    <row r="11" spans="1:8" x14ac:dyDescent="0.2">
      <c r="A11">
        <v>10</v>
      </c>
      <c r="B11" t="s">
        <v>51</v>
      </c>
      <c r="C11" t="s">
        <v>51</v>
      </c>
      <c r="D11" t="s">
        <v>35</v>
      </c>
      <c r="F11" t="s">
        <v>57</v>
      </c>
      <c r="G11" t="s">
        <v>57</v>
      </c>
      <c r="H11" s="2">
        <v>0.9</v>
      </c>
    </row>
  </sheetData>
  <autoFilter ref="A1:H1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="140" zoomScaleNormal="14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baseColWidth="10" defaultColWidth="8.5" defaultRowHeight="15" x14ac:dyDescent="0.2"/>
  <cols>
    <col min="1" max="1" width="5.5" bestFit="1" customWidth="1"/>
    <col min="2" max="3" width="30.5" bestFit="1" customWidth="1"/>
    <col min="4" max="4" width="13.1640625" customWidth="1"/>
    <col min="5" max="5" width="20.5" bestFit="1" customWidth="1"/>
    <col min="6" max="6" width="21.1640625" customWidth="1"/>
  </cols>
  <sheetData>
    <row r="1" spans="1:6" x14ac:dyDescent="0.2">
      <c r="A1" t="s">
        <v>117</v>
      </c>
      <c r="B1" t="s">
        <v>1</v>
      </c>
      <c r="C1" t="s">
        <v>3</v>
      </c>
      <c r="D1" t="s">
        <v>20</v>
      </c>
      <c r="E1" t="s">
        <v>21</v>
      </c>
      <c r="F1" t="s">
        <v>22</v>
      </c>
    </row>
    <row r="2" spans="1:6" x14ac:dyDescent="0.2">
      <c r="A2">
        <v>1</v>
      </c>
      <c r="B2" t="s">
        <v>45</v>
      </c>
      <c r="C2" t="s">
        <v>45</v>
      </c>
      <c r="D2" t="s">
        <v>35</v>
      </c>
      <c r="E2" t="s">
        <v>68</v>
      </c>
    </row>
    <row r="3" spans="1:6" x14ac:dyDescent="0.2">
      <c r="A3">
        <v>2</v>
      </c>
      <c r="B3" t="s">
        <v>46</v>
      </c>
      <c r="C3" t="s">
        <v>58</v>
      </c>
      <c r="D3" t="s">
        <v>36</v>
      </c>
    </row>
    <row r="4" spans="1:6" x14ac:dyDescent="0.2">
      <c r="A4">
        <v>3</v>
      </c>
      <c r="B4" t="s">
        <v>46</v>
      </c>
      <c r="C4" t="s">
        <v>59</v>
      </c>
      <c r="D4" t="s">
        <v>36</v>
      </c>
    </row>
    <row r="5" spans="1:6" x14ac:dyDescent="0.2">
      <c r="A5">
        <v>4</v>
      </c>
      <c r="B5" t="s">
        <v>46</v>
      </c>
      <c r="C5" t="s">
        <v>60</v>
      </c>
      <c r="D5" t="s">
        <v>36</v>
      </c>
    </row>
    <row r="6" spans="1:6" x14ac:dyDescent="0.2">
      <c r="A6">
        <v>5</v>
      </c>
      <c r="B6" t="s">
        <v>46</v>
      </c>
      <c r="C6" t="s">
        <v>61</v>
      </c>
      <c r="D6" t="s">
        <v>36</v>
      </c>
    </row>
    <row r="7" spans="1:6" x14ac:dyDescent="0.2">
      <c r="A7">
        <v>6</v>
      </c>
      <c r="B7" t="s">
        <v>47</v>
      </c>
      <c r="C7" t="s">
        <v>47</v>
      </c>
      <c r="D7" t="s">
        <v>35</v>
      </c>
      <c r="E7" t="s">
        <v>69</v>
      </c>
    </row>
    <row r="8" spans="1:6" x14ac:dyDescent="0.2">
      <c r="A8">
        <v>7</v>
      </c>
      <c r="B8" t="s">
        <v>48</v>
      </c>
      <c r="C8" t="s">
        <v>48</v>
      </c>
      <c r="D8" t="s">
        <v>35</v>
      </c>
      <c r="E8" t="s">
        <v>69</v>
      </c>
    </row>
    <row r="9" spans="1:6" x14ac:dyDescent="0.2">
      <c r="A9">
        <v>8</v>
      </c>
      <c r="B9" t="s">
        <v>49</v>
      </c>
      <c r="C9" t="s">
        <v>49</v>
      </c>
      <c r="D9" t="s">
        <v>35</v>
      </c>
      <c r="E9" t="s">
        <v>69</v>
      </c>
    </row>
    <row r="10" spans="1:6" x14ac:dyDescent="0.2">
      <c r="A10">
        <v>9</v>
      </c>
      <c r="B10" t="s">
        <v>50</v>
      </c>
      <c r="C10" t="s">
        <v>50</v>
      </c>
      <c r="D10" t="s">
        <v>35</v>
      </c>
      <c r="E10" t="s">
        <v>70</v>
      </c>
    </row>
    <row r="11" spans="1:6" x14ac:dyDescent="0.2">
      <c r="A11">
        <v>10</v>
      </c>
      <c r="B11" t="s">
        <v>51</v>
      </c>
      <c r="C11" t="s">
        <v>51</v>
      </c>
      <c r="D11" t="s">
        <v>36</v>
      </c>
    </row>
  </sheetData>
  <autoFilter ref="A1:F11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9" sqref="D9"/>
    </sheetView>
  </sheetViews>
  <sheetFormatPr baseColWidth="10" defaultColWidth="8.5" defaultRowHeight="15" x14ac:dyDescent="0.2"/>
  <cols>
    <col min="1" max="1" width="5.5" bestFit="1" customWidth="1"/>
    <col min="2" max="3" width="30.5" bestFit="1" customWidth="1"/>
    <col min="4" max="4" width="65.1640625" bestFit="1" customWidth="1"/>
    <col min="5" max="5" width="11" bestFit="1" customWidth="1"/>
    <col min="6" max="6" width="10.5" bestFit="1" customWidth="1"/>
    <col min="7" max="7" width="3.5" customWidth="1"/>
  </cols>
  <sheetData>
    <row r="1" spans="1:6" x14ac:dyDescent="0.2">
      <c r="A1" t="s">
        <v>117</v>
      </c>
      <c r="B1" t="s">
        <v>1</v>
      </c>
      <c r="C1" t="s">
        <v>3</v>
      </c>
      <c r="D1" t="s">
        <v>23</v>
      </c>
      <c r="E1" t="s">
        <v>24</v>
      </c>
      <c r="F1" t="s">
        <v>25</v>
      </c>
    </row>
    <row r="2" spans="1:6" x14ac:dyDescent="0.2">
      <c r="A2">
        <v>1</v>
      </c>
      <c r="B2" t="s">
        <v>45</v>
      </c>
      <c r="C2" t="s">
        <v>45</v>
      </c>
      <c r="D2" t="s">
        <v>71</v>
      </c>
      <c r="E2" t="s">
        <v>76</v>
      </c>
    </row>
    <row r="3" spans="1:6" ht="16" x14ac:dyDescent="0.2">
      <c r="A3">
        <v>2</v>
      </c>
      <c r="B3" t="s">
        <v>46</v>
      </c>
      <c r="C3" t="s">
        <v>58</v>
      </c>
      <c r="D3" s="3" t="s">
        <v>133</v>
      </c>
      <c r="E3" t="s">
        <v>139</v>
      </c>
    </row>
    <row r="4" spans="1:6" ht="16" x14ac:dyDescent="0.2">
      <c r="A4">
        <v>3</v>
      </c>
      <c r="B4" t="s">
        <v>46</v>
      </c>
      <c r="C4" t="s">
        <v>59</v>
      </c>
      <c r="D4" s="3" t="s">
        <v>134</v>
      </c>
      <c r="E4" t="s">
        <v>140</v>
      </c>
    </row>
    <row r="5" spans="1:6" ht="16" x14ac:dyDescent="0.2">
      <c r="A5">
        <v>4</v>
      </c>
      <c r="B5" t="s">
        <v>46</v>
      </c>
      <c r="C5" t="s">
        <v>60</v>
      </c>
      <c r="D5" s="3" t="s">
        <v>73</v>
      </c>
      <c r="E5" t="s">
        <v>141</v>
      </c>
    </row>
    <row r="6" spans="1:6" ht="16" x14ac:dyDescent="0.2">
      <c r="A6">
        <v>5</v>
      </c>
      <c r="B6" t="s">
        <v>46</v>
      </c>
      <c r="C6" t="s">
        <v>61</v>
      </c>
      <c r="D6" s="3" t="s">
        <v>72</v>
      </c>
      <c r="E6" t="s">
        <v>142</v>
      </c>
    </row>
    <row r="7" spans="1:6" ht="16" x14ac:dyDescent="0.2">
      <c r="A7">
        <v>6</v>
      </c>
      <c r="B7" t="s">
        <v>47</v>
      </c>
      <c r="C7" t="s">
        <v>47</v>
      </c>
      <c r="D7" s="3" t="s">
        <v>135</v>
      </c>
      <c r="E7" t="s">
        <v>77</v>
      </c>
    </row>
    <row r="8" spans="1:6" ht="16" x14ac:dyDescent="0.2">
      <c r="A8">
        <v>7</v>
      </c>
      <c r="B8" t="s">
        <v>48</v>
      </c>
      <c r="C8" t="s">
        <v>48</v>
      </c>
      <c r="D8" s="3" t="s">
        <v>136</v>
      </c>
      <c r="E8" t="s">
        <v>78</v>
      </c>
    </row>
    <row r="9" spans="1:6" ht="16" x14ac:dyDescent="0.2">
      <c r="A9">
        <v>8</v>
      </c>
      <c r="B9" t="s">
        <v>49</v>
      </c>
      <c r="C9" t="s">
        <v>49</v>
      </c>
      <c r="D9" s="3" t="s">
        <v>74</v>
      </c>
      <c r="E9" t="s">
        <v>75</v>
      </c>
    </row>
    <row r="10" spans="1:6" ht="48" x14ac:dyDescent="0.2">
      <c r="A10">
        <v>9</v>
      </c>
      <c r="B10" t="s">
        <v>50</v>
      </c>
      <c r="C10" t="s">
        <v>50</v>
      </c>
      <c r="D10" s="3" t="s">
        <v>138</v>
      </c>
      <c r="E10" t="s">
        <v>143</v>
      </c>
    </row>
    <row r="11" spans="1:6" ht="48" x14ac:dyDescent="0.2">
      <c r="A11">
        <v>10</v>
      </c>
      <c r="B11" t="s">
        <v>51</v>
      </c>
      <c r="C11" t="s">
        <v>51</v>
      </c>
      <c r="D11" s="3" t="s">
        <v>137</v>
      </c>
      <c r="E11" t="s">
        <v>79</v>
      </c>
    </row>
  </sheetData>
  <autoFilter ref="A1:F11" xr:uid="{00000000-0009-0000-0000-000004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48576"/>
  <sheetViews>
    <sheetView zoomScale="140" zoomScaleNormal="14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0" sqref="E20"/>
    </sheetView>
  </sheetViews>
  <sheetFormatPr baseColWidth="10" defaultColWidth="8.5" defaultRowHeight="15" x14ac:dyDescent="0.2"/>
  <cols>
    <col min="1" max="1" width="5.5" bestFit="1" customWidth="1"/>
    <col min="2" max="3" width="30.5" bestFit="1" customWidth="1"/>
    <col min="4" max="4" width="13.5" bestFit="1" customWidth="1"/>
    <col min="5" max="5" width="17.5" bestFit="1" customWidth="1"/>
    <col min="6" max="6" width="16.33203125" bestFit="1" customWidth="1"/>
    <col min="7" max="7" width="14.1640625" bestFit="1" customWidth="1"/>
    <col min="8" max="8" width="16.33203125" bestFit="1" customWidth="1"/>
    <col min="10" max="13" width="12.1640625" customWidth="1"/>
  </cols>
  <sheetData>
    <row r="1" spans="1:13" x14ac:dyDescent="0.2">
      <c r="A1" t="s">
        <v>117</v>
      </c>
      <c r="B1" t="s">
        <v>1</v>
      </c>
      <c r="C1" t="s">
        <v>3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12</v>
      </c>
      <c r="K1" t="s">
        <v>32</v>
      </c>
      <c r="L1" t="s">
        <v>33</v>
      </c>
      <c r="M1" t="s">
        <v>34</v>
      </c>
    </row>
    <row r="2" spans="1:13" x14ac:dyDescent="0.2">
      <c r="A2">
        <v>1</v>
      </c>
      <c r="B2" t="s">
        <v>45</v>
      </c>
      <c r="C2" t="s">
        <v>45</v>
      </c>
      <c r="G2" t="s">
        <v>0</v>
      </c>
      <c r="H2" t="s">
        <v>82</v>
      </c>
    </row>
    <row r="3" spans="1:13" x14ac:dyDescent="0.2">
      <c r="A3">
        <v>2</v>
      </c>
      <c r="B3" t="s">
        <v>46</v>
      </c>
      <c r="C3" t="s">
        <v>58</v>
      </c>
      <c r="F3" t="s">
        <v>80</v>
      </c>
      <c r="G3" t="s">
        <v>2</v>
      </c>
      <c r="H3" t="s">
        <v>64</v>
      </c>
      <c r="I3" t="s">
        <v>57</v>
      </c>
      <c r="J3" t="s">
        <v>64</v>
      </c>
    </row>
    <row r="4" spans="1:13" x14ac:dyDescent="0.2">
      <c r="A4">
        <v>3</v>
      </c>
      <c r="B4" t="s">
        <v>46</v>
      </c>
      <c r="C4" t="s">
        <v>59</v>
      </c>
      <c r="F4" t="s">
        <v>80</v>
      </c>
      <c r="G4" t="s">
        <v>2</v>
      </c>
      <c r="H4" t="s">
        <v>64</v>
      </c>
      <c r="I4" t="s">
        <v>57</v>
      </c>
      <c r="J4" t="s">
        <v>64</v>
      </c>
    </row>
    <row r="5" spans="1:13" x14ac:dyDescent="0.2">
      <c r="A5">
        <v>4</v>
      </c>
      <c r="B5" t="s">
        <v>46</v>
      </c>
      <c r="C5" t="s">
        <v>60</v>
      </c>
      <c r="F5" t="s">
        <v>80</v>
      </c>
      <c r="G5" t="s">
        <v>2</v>
      </c>
      <c r="H5" t="s">
        <v>64</v>
      </c>
      <c r="I5" t="s">
        <v>57</v>
      </c>
      <c r="J5" t="s">
        <v>64</v>
      </c>
    </row>
    <row r="6" spans="1:13" x14ac:dyDescent="0.2">
      <c r="A6">
        <v>5</v>
      </c>
      <c r="B6" t="s">
        <v>46</v>
      </c>
      <c r="C6" t="s">
        <v>61</v>
      </c>
      <c r="F6" t="s">
        <v>80</v>
      </c>
      <c r="G6" t="s">
        <v>2</v>
      </c>
      <c r="H6" t="s">
        <v>64</v>
      </c>
      <c r="I6" t="s">
        <v>57</v>
      </c>
      <c r="J6" t="s">
        <v>64</v>
      </c>
    </row>
    <row r="7" spans="1:13" x14ac:dyDescent="0.2">
      <c r="A7">
        <v>6</v>
      </c>
      <c r="B7" t="s">
        <v>47</v>
      </c>
      <c r="C7" t="s">
        <v>47</v>
      </c>
      <c r="G7" t="s">
        <v>0</v>
      </c>
      <c r="H7" t="s">
        <v>82</v>
      </c>
    </row>
    <row r="8" spans="1:13" x14ac:dyDescent="0.2">
      <c r="A8">
        <v>7</v>
      </c>
      <c r="B8" t="s">
        <v>48</v>
      </c>
      <c r="C8" t="s">
        <v>48</v>
      </c>
      <c r="G8" t="s">
        <v>0</v>
      </c>
      <c r="H8" t="s">
        <v>82</v>
      </c>
      <c r="I8" t="s">
        <v>57</v>
      </c>
      <c r="J8" t="s">
        <v>64</v>
      </c>
    </row>
    <row r="9" spans="1:13" x14ac:dyDescent="0.2">
      <c r="A9">
        <v>8</v>
      </c>
      <c r="B9" t="s">
        <v>49</v>
      </c>
      <c r="C9" t="s">
        <v>49</v>
      </c>
      <c r="G9" t="s">
        <v>0</v>
      </c>
      <c r="H9" t="s">
        <v>82</v>
      </c>
    </row>
    <row r="10" spans="1:13" x14ac:dyDescent="0.2">
      <c r="A10">
        <v>9</v>
      </c>
      <c r="B10" t="s">
        <v>50</v>
      </c>
      <c r="C10" t="s">
        <v>50</v>
      </c>
      <c r="F10" t="s">
        <v>81</v>
      </c>
      <c r="G10" t="s">
        <v>0</v>
      </c>
      <c r="H10" t="s">
        <v>82</v>
      </c>
    </row>
    <row r="11" spans="1:13" x14ac:dyDescent="0.2">
      <c r="A11">
        <v>10</v>
      </c>
      <c r="B11" t="s">
        <v>51</v>
      </c>
      <c r="C11" t="s">
        <v>51</v>
      </c>
      <c r="G11" t="s">
        <v>0</v>
      </c>
      <c r="H11" t="s">
        <v>82</v>
      </c>
    </row>
    <row r="1048576" spans="9:9" x14ac:dyDescent="0.2">
      <c r="I1048576" t="s">
        <v>57</v>
      </c>
    </row>
  </sheetData>
  <autoFilter ref="A1:M11" xr:uid="{00000000-0009-0000-0000-000005000000}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'/Users/nicki.atkinson/Desktop/1. CTA/C:\Users\mathieu.chieze\OneDrive - Campofrio Food Group\0 APP\2 Apps Rationalization 2020\[Application Summary v5.xlsx]control'!#REF!</xm:f>
          </x14:formula1>
          <xm:sqref>H1:I1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:J10"/>
  <sheetViews>
    <sheetView zoomScale="140" zoomScaleNormal="140" workbookViewId="0">
      <selection activeCell="E14" sqref="E14"/>
    </sheetView>
  </sheetViews>
  <sheetFormatPr baseColWidth="10" defaultColWidth="11.5" defaultRowHeight="15" x14ac:dyDescent="0.2"/>
  <cols>
    <col min="1" max="1" width="24.33203125" customWidth="1"/>
    <col min="2" max="2" width="19.5" bestFit="1" customWidth="1"/>
    <col min="3" max="3" width="20.6640625" customWidth="1"/>
    <col min="4" max="4" width="16.33203125" customWidth="1"/>
    <col min="5" max="5" width="22" customWidth="1"/>
    <col min="6" max="6" width="14.83203125" bestFit="1" customWidth="1"/>
    <col min="7" max="7" width="19.33203125" bestFit="1" customWidth="1"/>
    <col min="8" max="8" width="21.5" bestFit="1" customWidth="1"/>
    <col min="9" max="9" width="14.5" bestFit="1" customWidth="1"/>
    <col min="10" max="10" width="22.5" bestFit="1" customWidth="1"/>
    <col min="12" max="12" width="14.1640625" bestFit="1" customWidth="1"/>
  </cols>
  <sheetData>
    <row r="1" spans="1:10" x14ac:dyDescent="0.2">
      <c r="A1" t="s">
        <v>132</v>
      </c>
      <c r="B1" t="s">
        <v>86</v>
      </c>
      <c r="C1" t="s">
        <v>88</v>
      </c>
      <c r="D1" t="s">
        <v>83</v>
      </c>
      <c r="E1" t="s">
        <v>89</v>
      </c>
      <c r="F1" t="s">
        <v>87</v>
      </c>
      <c r="G1" t="s">
        <v>44</v>
      </c>
      <c r="H1" t="s">
        <v>90</v>
      </c>
      <c r="I1" t="s">
        <v>85</v>
      </c>
      <c r="J1" t="s">
        <v>84</v>
      </c>
    </row>
    <row r="2" spans="1:10" x14ac:dyDescent="0.2">
      <c r="A2" t="s">
        <v>153</v>
      </c>
      <c r="B2" t="s">
        <v>113</v>
      </c>
      <c r="C2" t="s">
        <v>144</v>
      </c>
      <c r="D2" t="s">
        <v>91</v>
      </c>
      <c r="E2" t="s">
        <v>107</v>
      </c>
      <c r="F2" t="s">
        <v>116</v>
      </c>
      <c r="G2" t="s">
        <v>93</v>
      </c>
      <c r="H2" t="s">
        <v>96</v>
      </c>
      <c r="I2" t="s">
        <v>99</v>
      </c>
      <c r="J2" t="s">
        <v>102</v>
      </c>
    </row>
    <row r="3" spans="1:10" ht="16" customHeight="1" x14ac:dyDescent="0.2">
      <c r="A3" s="4" t="s">
        <v>196</v>
      </c>
      <c r="B3" t="s">
        <v>114</v>
      </c>
      <c r="C3" t="s">
        <v>111</v>
      </c>
      <c r="D3" t="s">
        <v>92</v>
      </c>
      <c r="E3" s="4" t="s">
        <v>108</v>
      </c>
      <c r="F3" s="4" t="s">
        <v>106</v>
      </c>
      <c r="G3" s="4" t="s">
        <v>94</v>
      </c>
      <c r="H3" s="4" t="s">
        <v>97</v>
      </c>
      <c r="I3" s="4" t="s">
        <v>100</v>
      </c>
      <c r="J3" s="4" t="s">
        <v>103</v>
      </c>
    </row>
    <row r="4" spans="1:10" x14ac:dyDescent="0.2">
      <c r="A4" s="4" t="s">
        <v>154</v>
      </c>
      <c r="B4" t="s">
        <v>115</v>
      </c>
      <c r="C4" t="s">
        <v>112</v>
      </c>
      <c r="D4" t="s">
        <v>110</v>
      </c>
      <c r="E4" s="4" t="s">
        <v>109</v>
      </c>
      <c r="F4" t="s">
        <v>105</v>
      </c>
      <c r="G4" s="4" t="s">
        <v>95</v>
      </c>
      <c r="H4" s="4" t="s">
        <v>98</v>
      </c>
      <c r="I4" s="4" t="s">
        <v>101</v>
      </c>
      <c r="J4" s="4" t="s">
        <v>104</v>
      </c>
    </row>
    <row r="5" spans="1:10" x14ac:dyDescent="0.2">
      <c r="A5" s="4" t="s">
        <v>155</v>
      </c>
      <c r="B5" t="s">
        <v>159</v>
      </c>
      <c r="C5" t="s">
        <v>163</v>
      </c>
      <c r="D5" t="s">
        <v>167</v>
      </c>
      <c r="E5" s="4" t="s">
        <v>174</v>
      </c>
      <c r="F5" s="4" t="s">
        <v>175</v>
      </c>
      <c r="G5" s="4" t="s">
        <v>179</v>
      </c>
      <c r="H5" s="4" t="s">
        <v>183</v>
      </c>
      <c r="I5" s="4" t="s">
        <v>187</v>
      </c>
      <c r="J5" s="4" t="s">
        <v>191</v>
      </c>
    </row>
    <row r="6" spans="1:10" x14ac:dyDescent="0.2">
      <c r="A6" s="4" t="s">
        <v>156</v>
      </c>
      <c r="B6" t="s">
        <v>160</v>
      </c>
      <c r="C6" t="s">
        <v>164</v>
      </c>
      <c r="D6" t="s">
        <v>168</v>
      </c>
      <c r="E6" s="4" t="s">
        <v>171</v>
      </c>
      <c r="F6" s="4" t="s">
        <v>176</v>
      </c>
      <c r="G6" s="4" t="s">
        <v>180</v>
      </c>
      <c r="H6" s="4" t="s">
        <v>184</v>
      </c>
      <c r="I6" s="4" t="s">
        <v>188</v>
      </c>
      <c r="J6" s="4" t="s">
        <v>192</v>
      </c>
    </row>
    <row r="7" spans="1:10" x14ac:dyDescent="0.2">
      <c r="A7" s="4" t="s">
        <v>157</v>
      </c>
      <c r="B7" t="s">
        <v>161</v>
      </c>
      <c r="C7" t="s">
        <v>165</v>
      </c>
      <c r="D7" t="s">
        <v>169</v>
      </c>
      <c r="E7" s="4" t="s">
        <v>172</v>
      </c>
      <c r="F7" s="4" t="s">
        <v>177</v>
      </c>
      <c r="G7" s="4" t="s">
        <v>181</v>
      </c>
      <c r="H7" s="4" t="s">
        <v>185</v>
      </c>
      <c r="I7" s="4" t="s">
        <v>189</v>
      </c>
      <c r="J7" s="4" t="s">
        <v>193</v>
      </c>
    </row>
    <row r="8" spans="1:10" x14ac:dyDescent="0.2">
      <c r="A8" s="4" t="s">
        <v>158</v>
      </c>
      <c r="B8" t="s">
        <v>162</v>
      </c>
      <c r="C8" t="s">
        <v>166</v>
      </c>
      <c r="D8" t="s">
        <v>170</v>
      </c>
      <c r="E8" s="4" t="s">
        <v>173</v>
      </c>
      <c r="F8" s="4" t="s">
        <v>178</v>
      </c>
      <c r="G8" s="4" t="s">
        <v>182</v>
      </c>
      <c r="H8" s="4" t="s">
        <v>186</v>
      </c>
      <c r="I8" s="4" t="s">
        <v>190</v>
      </c>
      <c r="J8" s="4" t="s">
        <v>194</v>
      </c>
    </row>
    <row r="9" spans="1:10" x14ac:dyDescent="0.2">
      <c r="A9" s="4"/>
    </row>
    <row r="10" spans="1:10" x14ac:dyDescent="0.2">
      <c r="A10" s="4"/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2BD61746E5384087D64C2A293EA913" ma:contentTypeVersion="11" ma:contentTypeDescription="Create a new document." ma:contentTypeScope="" ma:versionID="831b85e1e8a4ecae83195b867df08ef8">
  <xsd:schema xmlns:xsd="http://www.w3.org/2001/XMLSchema" xmlns:xs="http://www.w3.org/2001/XMLSchema" xmlns:p="http://schemas.microsoft.com/office/2006/metadata/properties" xmlns:ns2="6120c4ab-7814-4711-814a-1d878dbe4767" xmlns:ns3="cbcfa5c9-1e5d-4498-a25f-4101a154db50" targetNamespace="http://schemas.microsoft.com/office/2006/metadata/properties" ma:root="true" ma:fieldsID="d81f2e383ed9a82f02aaf574aa521ab3" ns2:_="" ns3:_="">
    <xsd:import namespace="6120c4ab-7814-4711-814a-1d878dbe4767"/>
    <xsd:import namespace="cbcfa5c9-1e5d-4498-a25f-4101a154d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0c4ab-7814-4711-814a-1d878dbe4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fa5c9-1e5d-4498-a25f-4101a154db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060CCC-0EE0-48D2-8739-BC263FA3207C}">
  <ds:schemaRefs>
    <ds:schemaRef ds:uri="http://schemas.microsoft.com/office/2006/metadata/properties"/>
    <ds:schemaRef ds:uri="http://www.w3.org/XML/1998/namespace"/>
    <ds:schemaRef ds:uri="http://purl.org/dc/elements/1.1/"/>
    <ds:schemaRef ds:uri="168e0357-5b39-4600-91c2-bfff6e896513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5E36E05-DEB0-45C3-82D8-C38E80C227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0c4ab-7814-4711-814a-1d878dbe4767"/>
    <ds:schemaRef ds:uri="cbcfa5c9-1e5d-4498-a25f-4101a154d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EEDA9-CD69-4DEC-A7DB-0D0F0468CE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Applications Basic Data</vt:lpstr>
      <vt:lpstr>Business Processes</vt:lpstr>
      <vt:lpstr>Security</vt:lpstr>
      <vt:lpstr>Audit Compliance</vt:lpstr>
      <vt:lpstr>Infrastructure</vt:lpstr>
      <vt:lpstr>Health</vt:lpstr>
      <vt:lpstr>Group members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Microsoft Office User</cp:lastModifiedBy>
  <cp:revision/>
  <dcterms:created xsi:type="dcterms:W3CDTF">2020-02-18T16:11:36Z</dcterms:created>
  <dcterms:modified xsi:type="dcterms:W3CDTF">2021-06-23T17:30:29Z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0x010100F02BD61746E5384087D64C2A293EA913</vt:lpwstr>
  </property>
  <property fmtid="{D5CDD505-2E9C-101B-9397-08002B2CF9AE}" pid="3" name="Global Keywords">
    <vt:lpwstr/>
  </property>
  <property fmtid="{D5CDD505-2E9C-101B-9397-08002B2CF9AE}" pid="4" name="Client Professional Services">
    <vt:lpwstr/>
  </property>
</Properties>
</file>