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nit4-my.sharepoint.com/personal/pedro_leite_unit4_com/Documents/Documents/ServiceNow Documentation/ServiceNowDocs/obsidian-servicenow-docs/ServiceNowOfficialDocs/custom-solutions/proactive-customer-case-communicator/"/>
    </mc:Choice>
  </mc:AlternateContent>
  <xr:revisionPtr revIDLastSave="6" documentId="8_{9428422B-8A75-4D34-B358-EB5D93F466B3}" xr6:coauthVersionLast="47" xr6:coauthVersionMax="47" xr10:uidLastSave="{22B9A25C-F69D-4D7B-BAC2-E35EEAE35D51}"/>
  <bookViews>
    <workbookView xWindow="-1905" yWindow="-18495" windowWidth="38700" windowHeight="15345" firstSheet="1" activeTab="1" xr2:uid="{00000000-000D-0000-FFFF-FFFF00000000}"/>
  </bookViews>
  <sheets>
    <sheet name="In-progress Cases" sheetId="6" state="hidden" r:id="rId1"/>
    <sheet name="Comm Templates" sheetId="10"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6" l="1" a="1"/>
  <c r="E4" i="6" s="1"/>
  <c r="B31" i="6"/>
  <c r="C5" i="6" l="1"/>
  <c r="C30" i="6"/>
  <c r="C29" i="6"/>
  <c r="C28" i="6"/>
  <c r="C27" i="6"/>
  <c r="C26" i="6"/>
  <c r="C25" i="6"/>
  <c r="C24" i="6"/>
  <c r="C23" i="6"/>
  <c r="C22" i="6"/>
  <c r="C21" i="6"/>
  <c r="C20" i="6"/>
  <c r="C19" i="6"/>
  <c r="C18" i="6"/>
  <c r="C17" i="6"/>
  <c r="C16" i="6"/>
  <c r="C15" i="6"/>
  <c r="C14" i="6"/>
  <c r="C13" i="6"/>
  <c r="C12" i="6"/>
  <c r="C11" i="6"/>
  <c r="C10" i="6"/>
  <c r="C9" i="6"/>
  <c r="C8" i="6"/>
  <c r="C7" i="6"/>
  <c r="C6" i="6"/>
  <c r="C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tc={6B9AA468-3136-4242-B39A-01CE798960D7}</author>
    <author>tc={0E0DD351-D71D-4354-81C1-39E43C08F518}</author>
    <author>tc={1F8859C2-7FE1-4690-AB8E-B1CC68415A31}</author>
    <author>tc={0F4F1E2F-C510-4611-AFB2-86F5FE7F8AEC}</author>
    <author>tc={D14C3B35-1744-439B-9325-8AADEE17B61D}</author>
    <author>tc={7D740D54-BF03-4C99-A427-D90D0B72009D}</author>
    <author>tc={4ADFFDC7-75FF-41BF-AD9A-84F9891E4FB4}</author>
    <author>tc={6F37B00D-6798-44B7-BC24-820C1078CB70}</author>
    <author>tc={63F0247B-74C2-45B0-A811-8E3AE89C7CE9}</author>
  </authors>
  <commentList>
    <comment ref="J1" authorId="0" shapeId="0" xr:uid="{6B9AA468-3136-4242-B39A-01CE798960D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@Daniel Piorkowski  I have created these columns for your feedback. Thanks again for your input and your support in this process.
Reply:
    @Salah Elrachidy  As I review all the triggers, I’ve realised there may be a broader issue with distinguishing ERPx problem cases from non-problem ones. In ERPx, “problems” are used not only to report issues to R&amp;D but also to run SQL scripts. In those cases (which are part of a regular daily process) the triggers and templates would not apply. This means we need an additional way to differentiate between these scenarios, although I’m not yet sure what criteria we could use.
Reply:
    @Daniel Piorkowski Yes, all SQL-related cases would be excluded from the triggers, as they are part of standard operational processes rather than problem-driven workflows.
Thanks for the vigilance on this 👍
</t>
      </text>
    </comment>
    <comment ref="AA2" authorId="1" shapeId="0" xr:uid="{0E0DD351-D71D-4354-81C1-39E43C08F51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@Stewart Phillips could you please review the wording and let me know if you'd suggest any changes to the English?
Reply:
    Of course, if you have any suggestions or improvements, please feel free to share them
Reply:
    @Pedro Leite Hi Pedro,
The intro text is ready for you to implement in the templates, please. Stewart has already reviewed it, and it's good to go.</t>
      </text>
    </comment>
    <comment ref="J3" authorId="2" shapeId="0" xr:uid="{1F8859C2-7FE1-4690-AB8E-B1CC68415A31}">
      <text>
        <t>[Threaded comment]
Your version of Excel allows you to read this threaded comment; however, any edits to it will get removed if the file is opened in a newer version of Excel. Learn more: https://go.microsoft.com/fwlink/?linkid=870924
Comment:
    @Daniel Piorkowski There is no trigger for assess status, we decided to exclude it.
Reply:
    @Salah Elrachidy After double-checking the process on the SA side, it appears that “Assess” and “Root Cause Analysis” should be effectively treated as the same step.</t>
      </text>
    </comment>
    <comment ref="D4" authorId="3" shapeId="0" xr:uid="{0F4F1E2F-C510-4611-AFB2-86F5FE7F8AEC}">
      <text>
        <t xml:space="preserve">[Threaded comment]
Your version of Excel allows you to read this threaded comment; however, any edits to it will get removed if the file is opened in a newer version of Excel. Learn more: https://go.microsoft.com/fwlink/?linkid=870924
Comment:
    doesn't require WORK ITEM to trigger </t>
      </text>
    </comment>
    <comment ref="Z5" authorId="4" shapeId="0" xr:uid="{D14C3B35-1744-439B-9325-8AADEE17B61D}">
      <text>
        <t>[Threaded comment]
Your version of Excel allows you to read this threaded comment; however, any edits to it will get removed if the file is opened in a newer version of Excel. Learn more: https://go.microsoft.com/fwlink/?linkid=870924
Comment:
    @Edward Behan TBD</t>
      </text>
    </comment>
    <comment ref="Z6" authorId="5" shapeId="0" xr:uid="{7D740D54-BF03-4C99-A427-D90D0B72009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@Edward Behan  If the Problem has resolution code "Fix applied", does that mean the fix has already been implemented by R&amp;D, or is it only planned?
</t>
      </text>
    </comment>
    <comment ref="Z7" authorId="6" shapeId="0" xr:uid="{4ADFFDC7-75FF-41BF-AD9A-84F9891E4FB4}">
      <text>
        <t xml:space="preserve">[Threaded comment]
Your version of Excel allows you to read this threaded comment; however, any edits to it will get removed if the file is opened in a newer version of Excel. Learn more: https://go.microsoft.com/fwlink/?linkid=870924
Comment:
    Hi @Luís Franco  
Quick question, would it be possible to implement a template where we include a few predefined options (e.g. 1, 2, 3), and the consultant selects one, so only that version is kept in the final message?
The idea is to keep the template simple but allow different outcomes (working as designed, enhancement, further investigation) without needing to rewrite the response each time.
Do you think this could be supported in ServiceNow?
Thanks 🙂
Reply:
    This will need to be confirmed by servicenow. I think this is a very different use case. </t>
      </text>
    </comment>
    <comment ref="Z9" authorId="7" shapeId="0" xr:uid="{6F37B00D-6798-44B7-BC24-820C1078CB7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@Salah Elrachidy  Maybe we could consider any comments from the customer or from the Work Item or Problem, and allow a free text section. Even if the message is approved without adding free text, it would still remain meaningful.
</t>
      </text>
    </comment>
    <comment ref="Z10" authorId="8" shapeId="0" xr:uid="{63F0247B-74C2-45B0-A811-8E3AE89C7CE9}">
      <text>
        <t xml:space="preserve">[Threaded comment]
Your version of Excel allows you to read this threaded comment; however, any edits to it will get removed if the file is opened in a newer version of Excel. Learn more: https://go.microsoft.com/fwlink/?linkid=870924
Comment:
    Or Dear {{Customer First Name}},
We have identified a workaround that may help address the reported behavior until a permanent solution becomes available.
Workaround:
{{Customer-Friendly Workaround}}
The issue is still under review, and we will keep you informed as further updates become available.
Please let us know if you have any questions.
Kind regards,
{{Support Consultant First Name}}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<sst xmlns="http://schemas.openxmlformats.org/spreadsheetml/2006/main" count="146" uniqueCount="139">
  <si>
    <t>Grzegorz Kacperek</t>
  </si>
  <si>
    <t>Klaudia Gorzna</t>
  </si>
  <si>
    <t>Agata Boruszka</t>
  </si>
  <si>
    <t>Rui Coelho</t>
  </si>
  <si>
    <t>Mark Harvey</t>
  </si>
  <si>
    <t>Jaedon Strauss</t>
  </si>
  <si>
    <t>Andres Molina</t>
  </si>
  <si>
    <t>Mark Waters</t>
  </si>
  <si>
    <t>Antoine Eljamousi</t>
  </si>
  <si>
    <t>Maciej Chomicki</t>
  </si>
  <si>
    <t>Chris Mather</t>
  </si>
  <si>
    <t>Marcin Grzys</t>
  </si>
  <si>
    <t>Julia Orfin</t>
  </si>
  <si>
    <t>Krzysztof Kotela</t>
  </si>
  <si>
    <t>Rocio Casas</t>
  </si>
  <si>
    <t>Sandra Pickett</t>
  </si>
  <si>
    <t>N/A</t>
  </si>
  <si>
    <t>📌 In-progress cases by consultant</t>
  </si>
  <si>
    <t>🟩 Legend</t>
  </si>
  <si>
    <t>Data provided by user • Generated 16/04/2026, 09:13:51</t>
  </si>
  <si>
    <t>Green highlight / ⭐ Yes = Nominated consultant (from Manager Input list)</t>
  </si>
  <si>
    <t>Consultant</t>
  </si>
  <si>
    <t>In progress case count</t>
  </si>
  <si>
    <t>Nominated?</t>
  </si>
  <si>
    <t>⭐ Nominated consultants</t>
  </si>
  <si>
    <t>Michal Szczerbina</t>
  </si>
  <si>
    <t>Orah Lefek</t>
  </si>
  <si>
    <t>Raul Leopold</t>
  </si>
  <si>
    <t>Daren Sherdel</t>
  </si>
  <si>
    <t>Hannah Winter</t>
  </si>
  <si>
    <t>Ian Tolson</t>
  </si>
  <si>
    <t>Marcin Buko</t>
  </si>
  <si>
    <t>Meg Hawkins</t>
  </si>
  <si>
    <t>Phil Dyke</t>
  </si>
  <si>
    <t>Robert Wilton</t>
  </si>
  <si>
    <t>Tracy Knoop</t>
  </si>
  <si>
    <t>Total</t>
  </si>
  <si>
    <t>Fin</t>
  </si>
  <si>
    <t xml:space="preserve">Template Name </t>
  </si>
  <si>
    <t>Originally agreed Triggers</t>
  </si>
  <si>
    <t>New Proposed Trigger</t>
  </si>
  <si>
    <t>Template Response</t>
  </si>
  <si>
    <t>Column1</t>
  </si>
  <si>
    <t>Suggested Amendments(NEW)</t>
  </si>
  <si>
    <t>Trigger</t>
  </si>
  <si>
    <t>Templates updates (Daniel)</t>
  </si>
  <si>
    <t>NEW</t>
  </si>
  <si>
    <t>Intro Text</t>
  </si>
  <si>
    <t>Case Linked to Problem</t>
  </si>
  <si>
    <t>Initial Acknowledgement</t>
  </si>
  <si>
    <t>Problem record created</t>
  </si>
  <si>
    <t>Problem item = status "New"</t>
  </si>
  <si>
    <r>
      <rPr>
        <sz val="11"/>
        <color rgb="FF000000"/>
        <rFont val="Aptos Narrow"/>
        <family val="2"/>
      </rPr>
      <t xml:space="preserve">Dear </t>
    </r>
    <r>
      <rPr>
        <sz val="11"/>
        <color rgb="FF4D93D9"/>
        <rFont val="Aptos Narrow"/>
        <family val="2"/>
      </rPr>
      <t>{{Customer Name}}</t>
    </r>
    <r>
      <rPr>
        <sz val="11"/>
        <color rgb="FF000000"/>
        <rFont val="Aptos Narrow"/>
        <family val="2"/>
      </rPr>
      <t>,
We would like to share an update on your case</t>
    </r>
    <r>
      <rPr>
        <sz val="11"/>
        <color rgb="FF4D93D9"/>
        <rFont val="Aptos Narrow"/>
        <family val="2"/>
      </rPr>
      <t xml:space="preserve"> {{CS Number}}</t>
    </r>
    <r>
      <rPr>
        <sz val="11"/>
        <color rgb="FF000000"/>
        <rFont val="Aptos Narrow"/>
        <family val="2"/>
      </rPr>
      <t xml:space="preserve">, related to </t>
    </r>
    <r>
      <rPr>
        <sz val="11"/>
        <color rgb="FF4D93D9"/>
        <rFont val="Aptos Narrow"/>
        <family val="2"/>
      </rPr>
      <t>{{Meaningful Title from the Case Description}}</t>
    </r>
    <r>
      <rPr>
        <sz val="11"/>
        <color rgb="FF000000"/>
        <rFont val="Aptos Narrow"/>
        <family val="2"/>
      </rPr>
      <t xml:space="preserve"> in </t>
    </r>
    <r>
      <rPr>
        <sz val="11"/>
        <color rgb="FF4D93D9"/>
        <rFont val="Aptos Narrow"/>
        <family val="2"/>
      </rPr>
      <t>{{Product Name}}</t>
    </r>
    <r>
      <rPr>
        <sz val="11"/>
        <color rgb="FF000000"/>
        <rFont val="Aptos Narrow"/>
        <family val="2"/>
      </rPr>
      <t xml:space="preserve">.
Our Customer Support team has completed an initial review and Problem record </t>
    </r>
    <r>
      <rPr>
        <sz val="11"/>
        <color rgb="FF0F9ED5"/>
        <rFont val="Aptos Narrow"/>
        <family val="2"/>
      </rPr>
      <t xml:space="preserve">{{Problem Number}} </t>
    </r>
    <r>
      <rPr>
        <sz val="11"/>
        <color rgb="FF000000"/>
        <rFont val="Aptos Narrow"/>
        <family val="2"/>
      </rPr>
      <t xml:space="preserve">has been created to review details and assess the scope of the issue. 
The status of the Problem will now be visible directly within your case under the 'Related Records' section. 
We’ll keep you updated as more information becomes available.
Kind regards,
</t>
    </r>
    <r>
      <rPr>
        <sz val="11"/>
        <color rgb="FF4D93D9"/>
        <rFont val="Aptos Narrow"/>
        <family val="2"/>
      </rPr>
      <t>{{Support Consultant Name}}</t>
    </r>
  </si>
  <si>
    <t>If deeper investigation is required, the Problem will be escalated to our Engineering team for root-cause analysis.</t>
  </si>
  <si>
    <t>Dear {{Customer First Name}} Our Customer Support team has completed an initial review and a Problem record {{Problem Number}} has been created to review details and assess the scope of the issue. 
The status of the Problem will now be visible directly within your case under the 'Related Records' section. 
We’ll keep you updated as more information becomes available.
Kind regards,
Kind regards,
{{Support Consultant First Name}}</t>
  </si>
  <si>
    <t>Updating the customer once the problem is registered makes sense, and it is something we should do. If that does not happen, a trigger is justified.</t>
  </si>
  <si>
    <t xml:space="preserve">
Dear {{Customer First Name}},
Our Customer Support team has completed an initial review and a Problem record {{Problem Number}} has been created to assess the scope of the issue.
You can view the status of the Problem directly within your case under the ‘Related Records’ section.
We will keep you informed as more information becomes available.
Kind regards,
{{Support Consultant First Name}}
</t>
  </si>
  <si>
    <t>This message is suggested because the linked Problem is in status "New".</t>
  </si>
  <si>
    <t>System analyst working on a problem</t>
  </si>
  <si>
    <t>Status Check‑In</t>
  </si>
  <si>
    <t>Problem item = status "Assess" N/A</t>
  </si>
  <si>
    <r>
      <rPr>
        <sz val="11"/>
        <color rgb="FF000000"/>
        <rFont val="Calibri"/>
        <family val="2"/>
        <scheme val="minor"/>
      </rPr>
      <t xml:space="preserve">Dear </t>
    </r>
    <r>
      <rPr>
        <sz val="11"/>
        <color rgb="FF4D93D9"/>
        <rFont val="Calibri"/>
        <family val="2"/>
        <scheme val="minor"/>
      </rPr>
      <t>{{Customer Name}}</t>
    </r>
    <r>
      <rPr>
        <sz val="11"/>
        <color rgb="FF000000"/>
        <rFont val="Calibri"/>
        <family val="2"/>
        <scheme val="minor"/>
      </rPr>
      <t xml:space="preserve">,
I wanted to ensure you have the latest status regarding your case </t>
    </r>
    <r>
      <rPr>
        <sz val="11"/>
        <color rgb="FF4D93D9"/>
        <rFont val="Calibri"/>
        <family val="2"/>
        <scheme val="minor"/>
      </rPr>
      <t>{{CS Number}}</t>
    </r>
    <r>
      <rPr>
        <sz val="11"/>
        <color rgb="FF000000"/>
        <rFont val="Calibri"/>
        <family val="2"/>
        <scheme val="minor"/>
      </rPr>
      <t xml:space="preserve">, related to </t>
    </r>
    <r>
      <rPr>
        <sz val="11"/>
        <color rgb="FF4D93D9"/>
        <rFont val="Calibri"/>
        <family val="2"/>
        <scheme val="minor"/>
      </rPr>
      <t>{{Meaningful Title from the Case Description}}</t>
    </r>
    <r>
      <rPr>
        <sz val="11"/>
        <color rgb="FF000000"/>
        <rFont val="Calibri"/>
        <family val="2"/>
        <scheme val="minor"/>
      </rPr>
      <t xml:space="preserve"> in </t>
    </r>
    <r>
      <rPr>
        <sz val="11"/>
        <color rgb="FF4D93D9"/>
        <rFont val="Calibri"/>
        <family val="2"/>
        <scheme val="minor"/>
      </rPr>
      <t>{{Product Name}}</t>
    </r>
    <r>
      <rPr>
        <sz val="11"/>
        <color rgb="FF000000"/>
        <rFont val="Calibri"/>
        <family val="2"/>
        <scheme val="minor"/>
      </rPr>
      <t xml:space="preserve">.
At this time, there has been no significant change since our last update. However, the issue remains under active review, and our teams continue working on it.
We will continue to monitor progress closely and will share the next update as soon as new information becomes available.
Kind regards,
</t>
    </r>
    <r>
      <rPr>
        <sz val="11"/>
        <color rgb="FF4D93D9"/>
        <rFont val="Calibri"/>
        <family val="2"/>
        <scheme val="minor"/>
      </rPr>
      <t>{{Support Consultant Name}}</t>
    </r>
  </si>
  <si>
    <t>Dear {{Customer First Name}},
I wanted to provide you with the latest status on this case. There has been no significant change since our last update. However, the issue remains under active review, and our teams continue working on it.
We will continue to monitor progress closely and will share the next update as soon as new information becomes available.
Kind regards,
{{Support Consultant First Name}}</t>
  </si>
  <si>
    <t>I feel that telling the customer “There has been no significant change since our last update” could be a bit triggering for the customers. Instead, we could say that the initial review (which we also reference in the next update template) has now started.</t>
  </si>
  <si>
    <t>Work Item Created</t>
  </si>
  <si>
    <t>Product and Engineering Investigation Started</t>
  </si>
  <si>
    <t>Work Item Status = Proposed</t>
  </si>
  <si>
    <t>Problem item = status "Root cause analysis"</t>
  </si>
  <si>
    <r>
      <rPr>
        <sz val="11"/>
        <color rgb="FF000000"/>
        <rFont val="Calibri"/>
        <family val="2"/>
        <scheme val="minor"/>
      </rPr>
      <t xml:space="preserve">Dear </t>
    </r>
    <r>
      <rPr>
        <sz val="11"/>
        <color rgb="FF2F75B5"/>
        <rFont val="Calibri"/>
        <family val="2"/>
        <scheme val="minor"/>
      </rPr>
      <t>{{Customer Name}}</t>
    </r>
    <r>
      <rPr>
        <sz val="11"/>
        <color rgb="FF000000"/>
        <rFont val="Calibri"/>
        <family val="2"/>
        <scheme val="minor"/>
      </rPr>
      <t xml:space="preserve">,
We would like to share an update on your case </t>
    </r>
    <r>
      <rPr>
        <sz val="11"/>
        <color rgb="FF2F75B5"/>
        <rFont val="Calibri"/>
        <family val="2"/>
        <scheme val="minor"/>
      </rPr>
      <t>{{CS Number}}</t>
    </r>
    <r>
      <rPr>
        <sz val="11"/>
        <color rgb="FF000000"/>
        <rFont val="Calibri"/>
        <family val="2"/>
        <scheme val="minor"/>
      </rPr>
      <t xml:space="preserve">, related to </t>
    </r>
    <r>
      <rPr>
        <sz val="11"/>
        <color rgb="FF2F75B5"/>
        <rFont val="Calibri"/>
        <family val="2"/>
        <scheme val="minor"/>
      </rPr>
      <t>{{Meaningful Title from the Case Description}}</t>
    </r>
    <r>
      <rPr>
        <sz val="11"/>
        <color rgb="FF000000"/>
        <rFont val="Calibri"/>
        <family val="2"/>
        <scheme val="minor"/>
      </rPr>
      <t xml:space="preserve"> in </t>
    </r>
    <r>
      <rPr>
        <sz val="11"/>
        <color rgb="FF2F75B5"/>
        <rFont val="Calibri"/>
        <family val="2"/>
        <scheme val="minor"/>
      </rPr>
      <t>{{Product Name}}</t>
    </r>
    <r>
      <rPr>
        <sz val="11"/>
        <color rgb="FF000000"/>
        <rFont val="Calibri"/>
        <family val="2"/>
        <scheme val="minor"/>
      </rPr>
      <t>.
Our Customer Support team has completed the initial review and is continuing the technical assessment of the reported issue.
We will keep you informed as soon as we have further updates to share.
Kind regards,
{{Support Consultant Name}}</t>
    </r>
  </si>
  <si>
    <t>Dear {{Customer First Name}},
We have completed the initial review and are continuing the technical assessment of the reported issue.
We will keep you informed as soon as we receive any further updates to share.
Kind regards,
{{Support Consultant First Name}}</t>
  </si>
  <si>
    <r>
      <rPr>
        <sz val="11"/>
        <color rgb="FF000000"/>
        <rFont val="Aptos Narrow"/>
        <family val="2"/>
      </rPr>
      <t>{previous Template} Dear</t>
    </r>
    <r>
      <rPr>
        <sz val="11"/>
        <color rgb="FF0F9ED5"/>
        <rFont val="Aptos Narrow"/>
        <family val="2"/>
      </rPr>
      <t xml:space="preserve"> {{Customer Name}},
</t>
    </r>
    <r>
      <rPr>
        <sz val="11"/>
        <color rgb="FF000000"/>
        <rFont val="Aptos Narrow"/>
        <family val="2"/>
      </rPr>
      <t xml:space="preserve">We would like to share an update on your case </t>
    </r>
    <r>
      <rPr>
        <sz val="11"/>
        <color rgb="FF0F9ED5"/>
        <rFont val="Aptos Narrow"/>
        <family val="2"/>
      </rPr>
      <t>{{CS Number}},</t>
    </r>
    <r>
      <rPr>
        <sz val="11"/>
        <color rgb="FF000000"/>
        <rFont val="Aptos Narrow"/>
        <family val="2"/>
      </rPr>
      <t xml:space="preserve"> related to </t>
    </r>
    <r>
      <rPr>
        <sz val="11"/>
        <color rgb="FF0F9ED5"/>
        <rFont val="Aptos Narrow"/>
        <family val="2"/>
      </rPr>
      <t>{{Meaningful Title from the Case Description}}</t>
    </r>
    <r>
      <rPr>
        <sz val="11"/>
        <color rgb="FF000000"/>
        <rFont val="Aptos Narrow"/>
        <family val="2"/>
      </rPr>
      <t xml:space="preserve"> in</t>
    </r>
    <r>
      <rPr>
        <sz val="11"/>
        <color rgb="FF0F9ED5"/>
        <rFont val="Aptos Narrow"/>
        <family val="2"/>
      </rPr>
      <t xml:space="preserve"> {{Product Name}}</t>
    </r>
    <r>
      <rPr>
        <sz val="11"/>
        <color rgb="FF000000"/>
        <rFont val="Aptos Narrow"/>
        <family val="2"/>
      </rPr>
      <t xml:space="preserve">.
Our Customer Support team has completed the review, and a Work Item  has been created for our Product and Engineering (P&amp;E) team.
The P&amp;E team will now continue the technical assessment. 
We will keep you informed as soon as we have additional updates to share.
Kind regards,
</t>
    </r>
    <r>
      <rPr>
        <sz val="11"/>
        <color rgb="FF0F9ED5"/>
        <rFont val="Aptos Narrow"/>
        <family val="2"/>
      </rPr>
      <t>{{Support Consultant Name}}</t>
    </r>
  </si>
  <si>
    <t xml:space="preserve">I’m not sure the trigger is correct here, as the first column suggests this is the point in the process where a work item is created and Product and Engineering investigation begins. Based on my experience (and after double‑checking with the SA) that is not the case.
In general, if the problem is in the Assess or Root Cause Analysis state, the review is still being carried out by the SA. At this stage, there is no work item, and we consider this part of the initial review. The issue has not been immediately rejected by the SA, but the review is also not yet complete.
The review is completed when the status changes to Fix in progress, as this is the point at which the SA hands the matter over to R&amp;D by creating a work item. </t>
  </si>
  <si>
    <t>This suggests that the template response is better suited to a trigger based on Problem item = status “Fix in progress”. The screenshots illustrate the general SA approach: they either move straight to “Root Cause Analysis” (and later switch to “Fix in progress”), or they keep the item in “Assess” and then move directly to “Fix in progress”.</t>
  </si>
  <si>
    <t xml:space="preserve">
Dear {{Customer First Name}},
The issue is currently under further assessment as part of our ongoing investigation.
We will keep you informed as soon as additional information becomes available.
Kind regards,
{{Support Consultant First Name}</t>
  </si>
  <si>
    <t>This message is suggested because the linked Problem is in status "Root Cause Analysis".</t>
  </si>
  <si>
    <t>Suggested addition: The Problem record  {{Problem Number}} has moved on to the 'Root Cause Analysis' stage with P&amp;E.
You can view the status of the Problem directly within your case under the ‘Related Records’ section.
We will keep you informed as more information becomes available.</t>
  </si>
  <si>
    <t>Product and Engineering In development</t>
  </si>
  <si>
    <t>Work Item Status = in progress</t>
  </si>
  <si>
    <t xml:space="preserve"> Problem item = status "Fix in progress"</t>
  </si>
  <si>
    <r>
      <rPr>
        <sz val="11"/>
        <color rgb="FF000000"/>
        <rFont val="Calibri"/>
        <family val="2"/>
        <scheme val="minor"/>
      </rPr>
      <t xml:space="preserve">Dear </t>
    </r>
    <r>
      <rPr>
        <sz val="11"/>
        <color rgb="FF4D93D9"/>
        <rFont val="Calibri"/>
        <family val="2"/>
        <scheme val="minor"/>
      </rPr>
      <t>{{Customer Name}}</t>
    </r>
    <r>
      <rPr>
        <sz val="11"/>
        <color rgb="FF000000"/>
        <rFont val="Calibri"/>
        <family val="2"/>
        <scheme val="minor"/>
      </rPr>
      <t xml:space="preserve">,
I wanted to keep you informed about the progress of your case </t>
    </r>
    <r>
      <rPr>
        <sz val="11"/>
        <color rgb="FF4D93D9"/>
        <rFont val="Calibri"/>
        <family val="2"/>
        <scheme val="minor"/>
      </rPr>
      <t>{{CS Number}}</t>
    </r>
    <r>
      <rPr>
        <sz val="11"/>
        <color rgb="FF000000"/>
        <rFont val="Calibri"/>
        <family val="2"/>
        <scheme val="minor"/>
      </rPr>
      <t xml:space="preserve">, related to </t>
    </r>
    <r>
      <rPr>
        <sz val="11"/>
        <color rgb="FF4D93D9"/>
        <rFont val="Calibri"/>
        <family val="2"/>
        <scheme val="minor"/>
      </rPr>
      <t>{{Meaningful Title from the Case Description}}</t>
    </r>
    <r>
      <rPr>
        <sz val="11"/>
        <color rgb="FF000000"/>
        <rFont val="Calibri"/>
        <family val="2"/>
        <scheme val="minor"/>
      </rPr>
      <t xml:space="preserve"> in </t>
    </r>
    <r>
      <rPr>
        <sz val="11"/>
        <color rgb="FF4D93D9"/>
        <rFont val="Calibri"/>
        <family val="2"/>
        <scheme val="minor"/>
      </rPr>
      <t>{{Product Name}}</t>
    </r>
    <r>
      <rPr>
        <sz val="11"/>
        <color rgb="FF000000"/>
        <rFont val="Calibri"/>
        <family val="2"/>
        <scheme val="minor"/>
      </rPr>
      <t xml:space="preserve">.
The Work Item is now In Progress, meaning our Engineering team is actively working on implementing a fix for the reported issue. This includes development and internal review to ensure the fix delivers the intended outcome. 
We will keep you informed as soon as we have additional updates to share.
Kind regards,
</t>
    </r>
    <r>
      <rPr>
        <sz val="11"/>
        <color rgb="FF4D93D9"/>
        <rFont val="Calibri"/>
        <family val="2"/>
        <scheme val="minor"/>
      </rPr>
      <t>{{Support Consultant Name}}</t>
    </r>
  </si>
  <si>
    <t>Dear {{Customer First Name}},
I wanted to keep you informed about the progress of this case.
The Work Item is now In Progress, meaning our Engineering team is actively working on implementing a fix for the reported issue. This includes development and internal review to ensure the fix delivers the intended outcome. 
We will keep you informed as soon as we have additional updates to share.
Kind regards,
{{Support Consultant First Name}}</t>
  </si>
  <si>
    <t>In this instance, I believe the original idea of basing the trigger on the work item status could be more accurate than the newly suggested approach. If you look at the PRB0052356 example, the problem is shown as “Fix in Progress.” However, when you open the related work item in DevOps, you can see that its status was changed multiple times from Proposed to Pending, back to Proposed, and then to Ready, which is the current status.
It is unclear what “Ready” actually means in this context, especially as the item does not appear to have been worked on by anyone since 2023. It was only recently retested to confirm whether the issue is still present. Based on this, the assumption that “Fix in Progress” on the problem record means engineering is actively working on a solution is incorrect.
The real question is whether there is any status that definitively indicates an item is actively being worked on. I am not convinced that such a status exists. I am not an expert on the exact meaning of these statuses, as this is more within the remit of R&amp;D and system analysts. However, “In Progress” does not appear to be used for items created from problems.
I searched for work items related to a widely used functionality and found 530 problem‑based items. Only five statuses are in use (see attached screenshot): Proposed, Pending, Ready, Done, and Removed. Unless I am mistaken, none of these can be used as a definitive indicator that an item is actively being worked on. Proposed is clearly just the initial state, Pending is extremely rare, and the only status before Done or Removed is Ready. However, most  items in the Ready state appear to have been waiting for years.
This suggests that the meaning and use of these statuses should probably be discussed with engineering, as it is currently unclear where we are expected to obtain reliable information about whether work is actually in progress. Especially considering that this is where the case spends the vast majority of its time (easily over 90%) while the customer is awaiting feedback.</t>
  </si>
  <si>
    <t>We could use a template/trigger based on the work item status change from “Proposed” to “Ready.” If I understand correctly, this status means the issue has passed the initial R&amp;D triage, so at least we know it is not being rejected at this stage.
I am not sure whether this is something the customer would find useful, as it is still an internal review step. But it still does represent some form of progress. The more important question is how we identify the point at which R&amp;D actually starts working on a fix.</t>
  </si>
  <si>
    <t xml:space="preserve">
Dear {{Customer First Name}},
Your case has now been shared with our Product and Engineering teams for further analysis.
We will provide updates as soon as new information becomes available.
Kind regards,
{{Support Consultant First Name}}</t>
  </si>
  <si>
    <t>This message is suggested because the linked Problem is in status "Fix in Progress".</t>
  </si>
  <si>
    <t>Suggested addition: The Problem record  {{Problem Number}} has moved on to the 'Fix in Progress' stage with P&amp;E.
We will provide updates as soon as new information becomes available.</t>
  </si>
  <si>
    <t>Fix Scheduled for Release</t>
  </si>
  <si>
    <t>Release Notification</t>
  </si>
  <si>
    <t>Work Item linked to release/Done</t>
  </si>
  <si>
    <t>Problem item = status "Resolved" and  Resolution code "Fix applied"</t>
  </si>
  <si>
    <r>
      <rPr>
        <sz val="11"/>
        <color rgb="FF000000"/>
        <rFont val="Calibri"/>
        <family val="2"/>
        <scheme val="minor"/>
      </rPr>
      <t xml:space="preserve">Hi </t>
    </r>
    <r>
      <rPr>
        <sz val="11"/>
        <color rgb="FF0F9ED5"/>
        <rFont val="Calibri"/>
        <family val="2"/>
        <scheme val="minor"/>
      </rPr>
      <t>{{Customer Name}}</t>
    </r>
    <r>
      <rPr>
        <sz val="11"/>
        <color rgb="FF000000"/>
        <rFont val="Calibri"/>
        <family val="2"/>
        <scheme val="minor"/>
      </rPr>
      <t xml:space="preserve">,
Here is a further update regarding your case </t>
    </r>
    <r>
      <rPr>
        <sz val="11"/>
        <color rgb="FF0F9ED5"/>
        <rFont val="Calibri"/>
        <family val="2"/>
        <scheme val="minor"/>
      </rPr>
      <t>{{CS Number}}</t>
    </r>
    <r>
      <rPr>
        <sz val="11"/>
        <color rgb="FF000000"/>
        <rFont val="Calibri"/>
        <family val="2"/>
        <scheme val="minor"/>
      </rPr>
      <t xml:space="preserve">, related to </t>
    </r>
    <r>
      <rPr>
        <sz val="11"/>
        <color rgb="FF0F9ED5"/>
        <rFont val="Calibri"/>
        <family val="2"/>
        <scheme val="minor"/>
      </rPr>
      <t>{{Meaningful Title from the Case Description}}</t>
    </r>
    <r>
      <rPr>
        <sz val="11"/>
        <color rgb="FF000000"/>
        <rFont val="Calibri"/>
        <family val="2"/>
        <scheme val="minor"/>
      </rPr>
      <t xml:space="preserve"> in </t>
    </r>
    <r>
      <rPr>
        <sz val="11"/>
        <color rgb="FF0F9ED5"/>
        <rFont val="Calibri"/>
        <family val="2"/>
        <scheme val="minor"/>
      </rPr>
      <t>{{Product Name}}</t>
    </r>
    <r>
      <rPr>
        <sz val="11"/>
        <color rgb="FF000000"/>
        <rFont val="Calibri"/>
        <family val="2"/>
        <scheme val="minor"/>
      </rPr>
      <t xml:space="preserve">.
The fix addressing this issue is planned to be delivered as part of an upcoming product update </t>
    </r>
    <r>
      <rPr>
        <sz val="11"/>
        <color rgb="FF0F9ED5"/>
        <rFont val="Calibri"/>
        <family val="2"/>
        <scheme val="minor"/>
      </rPr>
      <t>{{Release Version}}</t>
    </r>
    <r>
      <rPr>
        <sz val="11"/>
        <color rgb="FF000000"/>
        <rFont val="Calibri"/>
        <family val="2"/>
        <scheme val="minor"/>
      </rPr>
      <t xml:space="preserve">.
As the delivery information has now been confirmed, we will update the case status to Solution Provided. However, the case will remain open until the fix becomes available for testing.
If you prefer to close the case at this stage, you may do so by selecting “Accept Solution” from the Actions section in Community4U / Support4U.
If you would like to discuss the fix further, please select “Reject Solution” in the Actions section and add a comment via Community4U / Support4U.
If the urgency or business impact becomes critical and significantly affects day‑to‑day operations, you may raise an Escalation Request through Community4U / Support4U.
Kind regards,
</t>
    </r>
    <r>
      <rPr>
        <sz val="11"/>
        <color rgb="FF0F9ED5"/>
        <rFont val="Calibri"/>
        <family val="2"/>
        <scheme val="minor"/>
      </rPr>
      <t>{{Support Consultant Name}}</t>
    </r>
  </si>
  <si>
    <t>Hi {{Customer First Name}},
I wanted to provide you with a further update regarding your case.
The fix addressing this issue is planned to be delivered as part of an upcoming product update {{Release Version}}.
As the delivery information has now been confirmed, we will update the case status to Solution Provided. However, the case will remain open until the fix becomes available for testing.
If you would  prefer to close the case at this stage, you may do so by selecting “Accept Solution” from the Actions section in Community4U / Support4U.
If the urgency or business impact becomes critical and/or significantly affects day‑to‑day operations, you should raise an Escalation Request through Community4U / Support4U.
Kind regards,
{{Support Consultant First Name}}</t>
  </si>
  <si>
    <t>Similarily to the first one and here it might actually be handy to get this comment ready to post when the problem is Resolved.</t>
  </si>
  <si>
    <t>My only concern is where the {{Release Version}} is sourced from. I’m not aware of any field that would hold this information outside of the Fix Notes. If that is the case, we’ve already raised an issue with this section either not being completed at all or not being completed accurately. That would be a problem if it’s going to be used for this template.</t>
  </si>
  <si>
    <t xml:space="preserve">
</t>
  </si>
  <si>
    <t xml:space="preserve">
Hi {{Customer First Name}},
I wanted to provide you with an update regarding your case.
A fix addressing this issue is planned to be delivered as part of an upcoming product update {{Release Version}}.
We will update the case status to Solution Provided, and testing will become available once the update {{Release Version}} has been applied.
If the urgency or business impact becomes critical, you can raise an Escalation Request through Community4U / Support4U.
Kind regards,
{{Support Consultant First Name}}</t>
  </si>
  <si>
    <t>This message is suggested because the linked Problem was resolved with "Fix Applied".</t>
  </si>
  <si>
    <t>Working as Designed – Not an issue</t>
  </si>
  <si>
    <t xml:space="preserve">Not an Issue </t>
  </si>
  <si>
    <t xml:space="preserve">Work Item = Removed </t>
  </si>
  <si>
    <t>Problem item = status "Resolved"  and Resolution code "Canceled"</t>
  </si>
  <si>
    <r>
      <rPr>
        <sz val="11"/>
        <color rgb="FF000000"/>
        <rFont val="Calibri"/>
        <family val="2"/>
        <scheme val="minor"/>
      </rPr>
      <t xml:space="preserve">Dear </t>
    </r>
    <r>
      <rPr>
        <sz val="11"/>
        <color rgb="FF0F9ED5"/>
        <rFont val="Calibri"/>
        <family val="2"/>
        <scheme val="minor"/>
      </rPr>
      <t>{{Customer Name}}</t>
    </r>
    <r>
      <rPr>
        <sz val="11"/>
        <color rgb="FF000000"/>
        <rFont val="Calibri"/>
        <family val="2"/>
        <scheme val="minor"/>
      </rPr>
      <t xml:space="preserve">,
We are writing to share the outcome of our review regarding your case </t>
    </r>
    <r>
      <rPr>
        <sz val="11"/>
        <color rgb="FF0F9ED5"/>
        <rFont val="Calibri"/>
        <family val="2"/>
        <scheme val="minor"/>
      </rPr>
      <t>{{CS Number}}</t>
    </r>
    <r>
      <rPr>
        <sz val="11"/>
        <color rgb="FF000000"/>
        <rFont val="Calibri"/>
        <family val="2"/>
        <scheme val="minor"/>
      </rPr>
      <t>, related to</t>
    </r>
    <r>
      <rPr>
        <sz val="11"/>
        <color rgb="FF4D93D9"/>
        <rFont val="Calibri"/>
        <family val="2"/>
        <scheme val="minor"/>
      </rPr>
      <t xml:space="preserve"> </t>
    </r>
    <r>
      <rPr>
        <sz val="11"/>
        <color rgb="FF0F9ED5"/>
        <rFont val="Calibri"/>
        <family val="2"/>
        <scheme val="minor"/>
      </rPr>
      <t>{{Meaningful Title from the Case Description}}</t>
    </r>
    <r>
      <rPr>
        <sz val="11"/>
        <color rgb="FF000000"/>
        <rFont val="Calibri"/>
        <family val="2"/>
        <scheme val="minor"/>
      </rPr>
      <t xml:space="preserve"> in </t>
    </r>
    <r>
      <rPr>
        <sz val="11"/>
        <color rgb="FF0F9ED5"/>
        <rFont val="Calibri"/>
        <family val="2"/>
        <scheme val="minor"/>
      </rPr>
      <t>{{Product Name}}</t>
    </r>
    <r>
      <rPr>
        <sz val="11"/>
        <color rgb="FF000000"/>
        <rFont val="Calibri"/>
        <family val="2"/>
        <scheme val="minor"/>
      </rPr>
      <t xml:space="preserve">.
Following a detailed review by Product and Engineering, the reported behavior has been confirmed to be working as designed, rather than an issue requiring a fix.
Thank you for bringing this to our attention — customer feedback is always valuable and helps shape future product improvements.
As no further actions are required from Customer Support at this stage, we will proceed with closing this case. Should you have any additional questions or need further assistance, please do not hesitate to contact us.
Kind regards,
</t>
    </r>
    <r>
      <rPr>
        <sz val="11"/>
        <color rgb="FF0F9ED5"/>
        <rFont val="Calibri"/>
        <family val="2"/>
        <scheme val="minor"/>
      </rPr>
      <t>{{Support Consultant Name}}</t>
    </r>
  </si>
  <si>
    <t>Dear {{Customer First Name}},
I am writing to share the outcome of our review regarding your case.
Following a detailed review by Product and Engineering, the reported behavior has been confirmed to be working as designed, rather than an issue requiring a fix.
Thank you for bringing this to our attention — customer feedback is always valuable and helps shape future product improvements.
As no further actions are required from Customer Support at this stage, we will proceed with closing this case. Should you have any additional questions or need further assistance, please do not hesitate to contact us.
Kind regards,
{{Support Consultant First Name}}</t>
  </si>
  <si>
    <t>This is fine as long as consultants will always double check what was the actual reason for the problem being canceled as this is not the only possibility.
And if it is in fact not considered a bug we may consider expanding the mid section of the template and advise the customer to raise it as a product Idea.</t>
  </si>
  <si>
    <t xml:space="preserve">
Dear {{Customer First Name}},
Following a detailed review by our Product and Engineering teams, 
1) the reported behavior has been confirmed to be working as designed.
2) this request is more suitable as an enhancement and can be raised via Community4U (C4U).
3) further internal investigation is required to determine the next steps and provide a more robust solution.
At this stage, we will proceed with updating the case status to Solution Provided. If you have any additional questions or would prefer to keep the case open, please let us know.
Kind regards,  
{{Support Consultant First Name}}</t>
  </si>
  <si>
    <t>This case linked to the Problem has been resolved with the Resolution Code "Cancelled". Please choose the appropriate closure type by selecting option 1, 2, or 3 below</t>
  </si>
  <si>
    <t>You can view the status of the Problem directly within your case under the ‘Related Records’ section.</t>
  </si>
  <si>
    <t>Working as Designed – Product Feature</t>
  </si>
  <si>
    <t>Not an Issue but a Feature</t>
  </si>
  <si>
    <t>Problem item = status "Resolved"  and Resolution code "Product idea":N/A</t>
  </si>
  <si>
    <r>
      <rPr>
        <sz val="11"/>
        <color rgb="FF000000"/>
        <rFont val="Calibri"/>
        <family val="2"/>
        <scheme val="minor"/>
      </rPr>
      <t xml:space="preserve">Dear </t>
    </r>
    <r>
      <rPr>
        <sz val="11"/>
        <color rgb="FF0F9ED5"/>
        <rFont val="Calibri"/>
        <family val="2"/>
        <scheme val="minor"/>
      </rPr>
      <t>{{Customer Name}}</t>
    </r>
    <r>
      <rPr>
        <sz val="11"/>
        <color rgb="FF000000"/>
        <rFont val="Calibri"/>
        <family val="2"/>
        <scheme val="minor"/>
      </rPr>
      <t xml:space="preserve">,
We are writing to share the outcome of our review regarding your case </t>
    </r>
    <r>
      <rPr>
        <sz val="11"/>
        <color rgb="FF0F9ED5"/>
        <rFont val="Calibri"/>
        <family val="2"/>
        <scheme val="minor"/>
      </rPr>
      <t>{{CS Number}}</t>
    </r>
    <r>
      <rPr>
        <sz val="11"/>
        <color rgb="FF000000"/>
        <rFont val="Calibri"/>
        <family val="2"/>
        <scheme val="minor"/>
      </rPr>
      <t>, related to</t>
    </r>
    <r>
      <rPr>
        <sz val="11"/>
        <color rgb="FF4D93D9"/>
        <rFont val="Calibri"/>
        <family val="2"/>
        <scheme val="minor"/>
      </rPr>
      <t xml:space="preserve"> </t>
    </r>
    <r>
      <rPr>
        <sz val="11"/>
        <color rgb="FF0F9ED5"/>
        <rFont val="Calibri"/>
        <family val="2"/>
        <scheme val="minor"/>
      </rPr>
      <t>{{Meaningful Title from the Case Description}}</t>
    </r>
    <r>
      <rPr>
        <sz val="11"/>
        <color rgb="FF000000"/>
        <rFont val="Calibri"/>
        <family val="2"/>
        <scheme val="minor"/>
      </rPr>
      <t xml:space="preserve"> in </t>
    </r>
    <r>
      <rPr>
        <sz val="11"/>
        <color rgb="FF0F9ED5"/>
        <rFont val="Calibri"/>
        <family val="2"/>
        <scheme val="minor"/>
      </rPr>
      <t>{{Product Name}}</t>
    </r>
    <r>
      <rPr>
        <sz val="11"/>
        <color rgb="FF000000"/>
        <rFont val="Calibri"/>
        <family val="2"/>
        <scheme val="minor"/>
      </rPr>
      <t xml:space="preserve">.
Following a detailed review by Product and Engineering, the reported behavior has been confirmed to be a product feature, rather than an issue requiring a fix.
Thank you for bringing this to our attention — customer feedback is always valuable and helps shape future product improvements. Any updates or enhancements related to this feature will be communicated through the release notes available in Community4U.
As no further actions are required from Customer Support at this stage, we will proceed with closing this case. Should you have any additional questions or need further assistance, please do not hesitate to contact us.
Kind regards,
</t>
    </r>
    <r>
      <rPr>
        <sz val="11"/>
        <color rgb="FF0F9ED5"/>
        <rFont val="Calibri"/>
        <family val="2"/>
        <scheme val="minor"/>
      </rPr>
      <t>{{Support Consultant Name}}</t>
    </r>
  </si>
  <si>
    <t>Case item - if Problem is attached - Last update by Unit4 every 7 days</t>
  </si>
  <si>
    <t>No Update in 7 Days</t>
  </si>
  <si>
    <t>Time‑based (SLA breach)</t>
  </si>
  <si>
    <t>Case item - if Problem is attached - Last update by Unit4 every 7 days)</t>
  </si>
  <si>
    <t>Dear {{Customer First Name}},
I wanted to ensure you have the latest status regarding this case. At this time, there has been no significant change since our last update. However, the issue remains under active review, and our teams to continue working on it.
We will continue to monitor progress closely and will share the next update as soon as new information becomes available.
Kind regards,
{{Support Consultant First Name}}</t>
  </si>
  <si>
    <t>As mentioned, I cannot agree with using a fixed, time-based trigger for problem-related cases. Sending weekly reminders to customers simply to inform them that we are still waiting without any clear update on resolution does not provide the kind of feedback they need.
In many cases, this approach is likely to increase frustration, as it repeatedly reminds customers of how long the issue has been unresolved rather than offering meaningful progress or insight. Unless there is an additional factor (such as a status change or at least a comment added to the work item) Customer Support has no way to provide the customer with meaningful feedback. While a comment does not necessarily mean someone is actively working on the item, it may indicate that feedback is being requested (but it is still better than nothing).</t>
  </si>
  <si>
    <t>"However, the issue remains under active review, and our teams to continue working on it." 
This is not something I would not feel comfortable communicating to the customer if I know that no one is actively working on the item, as it remains in the R&amp;D backlog.</t>
  </si>
  <si>
    <t xml:space="preserve">
Dear {{Customer First Name}},
I wanted to provide a quick update on your case. The issue is still under review, and we will share further information as soon as it becomes available.
Kind regards,
{{Support Consultant First Name}}</t>
  </si>
  <si>
    <t>This message is suggested because the customer has not received an update on this case for {{X}} days</t>
  </si>
  <si>
    <t>We will keep you informed as more information becomes available.</t>
  </si>
  <si>
    <t>Workaround Available</t>
  </si>
  <si>
    <t>Workaround Communicated</t>
  </si>
  <si>
    <t>Problem PRB  – Workaround field populated or updated and saved</t>
  </si>
  <si>
    <t>Problem item - Workaround field updated</t>
  </si>
  <si>
    <r>
      <rPr>
        <sz val="11"/>
        <color rgb="FF000000"/>
        <rFont val="Calibri"/>
        <family val="2"/>
        <scheme val="minor"/>
      </rPr>
      <t xml:space="preserve">Dear </t>
    </r>
    <r>
      <rPr>
        <sz val="11"/>
        <color rgb="FF0F9ED5"/>
        <rFont val="Calibri"/>
        <family val="2"/>
        <scheme val="minor"/>
      </rPr>
      <t>{{Customer Name}}</t>
    </r>
    <r>
      <rPr>
        <sz val="11"/>
        <color rgb="FF000000"/>
        <rFont val="Calibri"/>
        <family val="2"/>
        <scheme val="minor"/>
      </rPr>
      <t xml:space="preserve">,
 I’m getting back to you with an update on your case </t>
    </r>
    <r>
      <rPr>
        <sz val="11"/>
        <color rgb="FF0F9ED5"/>
        <rFont val="Calibri"/>
        <family val="2"/>
        <scheme val="minor"/>
      </rPr>
      <t>{{CS Number}}</t>
    </r>
    <r>
      <rPr>
        <sz val="11"/>
        <color rgb="FF000000"/>
        <rFont val="Calibri"/>
        <family val="2"/>
        <scheme val="minor"/>
      </rPr>
      <t xml:space="preserve">, related to </t>
    </r>
    <r>
      <rPr>
        <sz val="11"/>
        <color rgb="FF0F9ED5"/>
        <rFont val="Calibri"/>
        <family val="2"/>
        <scheme val="minor"/>
      </rPr>
      <t>{{Meaningful Title from the Case Description}}</t>
    </r>
    <r>
      <rPr>
        <sz val="11"/>
        <color rgb="FF000000"/>
        <rFont val="Calibri"/>
        <family val="2"/>
        <scheme val="minor"/>
      </rPr>
      <t xml:space="preserve"> in </t>
    </r>
    <r>
      <rPr>
        <sz val="11"/>
        <color rgb="FF0F9ED5"/>
        <rFont val="Calibri"/>
        <family val="2"/>
        <scheme val="minor"/>
      </rPr>
      <t>{{Product Name}}</t>
    </r>
    <r>
      <rPr>
        <sz val="11"/>
        <color rgb="FF000000"/>
        <rFont val="Calibri"/>
        <family val="2"/>
        <scheme val="minor"/>
      </rPr>
      <t xml:space="preserve">.
 Our teams have identified a workaround that may help address the reported behavior.
 Workaround:
</t>
    </r>
    <r>
      <rPr>
        <sz val="11"/>
        <color rgb="FF0F9ED5"/>
        <rFont val="Calibri"/>
        <family val="2"/>
        <scheme val="minor"/>
      </rPr>
      <t xml:space="preserve">{{Customer-Friendly Workaround}}
</t>
    </r>
    <r>
      <rPr>
        <sz val="11"/>
        <color rgb="FF000000"/>
        <rFont val="Calibri"/>
        <family val="2"/>
        <scheme val="minor"/>
      </rPr>
      <t xml:space="preserve"> Please note that this workaround may help address the issue in the meantime. We will keep you informed as soon as further updates are available.
 Please let us know if you have any questions.
 Kind regards, 
</t>
    </r>
    <r>
      <rPr>
        <sz val="11"/>
        <color rgb="FF0F9ED5"/>
        <rFont val="Calibri"/>
        <family val="2"/>
        <scheme val="minor"/>
      </rPr>
      <t xml:space="preserve">{{Support Consultant Name}}
</t>
    </r>
    <r>
      <rPr>
        <sz val="11"/>
        <color rgb="FF000000"/>
        <rFont val="Calibri"/>
        <family val="2"/>
        <scheme val="minor"/>
      </rPr>
      <t xml:space="preserve">
</t>
    </r>
  </si>
  <si>
    <t>Dear {{Customer First Name}},
 I’m getting back to you with an update on your case.
 Our teams have identified a workaround that may help address the reported behavior until a permanent fix becomes available.
 Workaround:
{{Customer-Friendly Workaround}}
 This issue raised is still being assessed and we will keep you informed as soon as further updates become available.
 Please let us know if you have any questions.
 Kind regards, 
{{Support Consultant First Name}}</t>
  </si>
  <si>
    <t>Workaround based trigger is fine.</t>
  </si>
  <si>
    <t>Dear {{Customer First Name}},
 I’m getting back to you with an update on your case.
 Our teams have identified a workaround that may help address the reported behavior until a permanent fix becomes available.
 Workaround:
{{Customer-Friendly Workaround}}
The issue raised is still being assessed and we will keep you informed as soon as further updates become available.
 Please let us know if you have any questions.
 Kind regards, 
{{Support Consultant First Name}}</t>
  </si>
  <si>
    <t>This message is suggested because a workaround has been added to the linked Problem.</t>
  </si>
  <si>
    <t>Product and Engineering Planning Phase</t>
  </si>
  <si>
    <t>Product and Engineering Planning Update</t>
  </si>
  <si>
    <t>Work Item Status = Ready</t>
  </si>
  <si>
    <t>out of scope</t>
  </si>
  <si>
    <r>
      <rPr>
        <sz val="11"/>
        <color rgb="FF000000"/>
        <rFont val="Aptos Narrow"/>
        <family val="2"/>
      </rPr>
      <t>Dear</t>
    </r>
    <r>
      <rPr>
        <sz val="11"/>
        <color rgb="FF0F9ED5"/>
        <rFont val="Aptos Narrow"/>
        <family val="2"/>
      </rPr>
      <t xml:space="preserve"> {{Customer Name}},
</t>
    </r>
    <r>
      <rPr>
        <sz val="11"/>
        <color rgb="FF000000"/>
        <rFont val="Aptos Narrow"/>
        <family val="2"/>
      </rPr>
      <t xml:space="preserve">We would like to share an update on your case </t>
    </r>
    <r>
      <rPr>
        <sz val="11"/>
        <color rgb="FF0F9ED5"/>
        <rFont val="Aptos Narrow"/>
        <family val="2"/>
      </rPr>
      <t>{{CS Number}},</t>
    </r>
    <r>
      <rPr>
        <sz val="11"/>
        <color rgb="FF000000"/>
        <rFont val="Aptos Narrow"/>
        <family val="2"/>
      </rPr>
      <t xml:space="preserve"> related to </t>
    </r>
    <r>
      <rPr>
        <sz val="11"/>
        <color rgb="FF0F9ED5"/>
        <rFont val="Aptos Narrow"/>
        <family val="2"/>
      </rPr>
      <t>{{Meaningful Title from the Case Description}}</t>
    </r>
    <r>
      <rPr>
        <sz val="11"/>
        <color rgb="FF000000"/>
        <rFont val="Aptos Narrow"/>
        <family val="2"/>
      </rPr>
      <t xml:space="preserve"> in</t>
    </r>
    <r>
      <rPr>
        <sz val="11"/>
        <color rgb="FF0F9ED5"/>
        <rFont val="Aptos Narrow"/>
        <family val="2"/>
      </rPr>
      <t xml:space="preserve"> {{Product Name}}</t>
    </r>
    <r>
      <rPr>
        <sz val="11"/>
        <color rgb="FF000000"/>
        <rFont val="Aptos Narrow"/>
        <family val="2"/>
      </rPr>
      <t xml:space="preserve">.
The Work Item is now in the Planning phase. During this stage, our teams are reviewing the information provided, confirming the scope of the required changes, and defining the next steps to address the issue.
We will keep you informed as soon as we have additional updates to share.
Kind regards,
</t>
    </r>
    <r>
      <rPr>
        <sz val="11"/>
        <color rgb="FF0F9ED5"/>
        <rFont val="Aptos Narrow"/>
        <family val="2"/>
      </rPr>
      <t>{{Support Consultant Name}}</t>
    </r>
  </si>
  <si>
    <t>Fix Ready for Testing</t>
  </si>
  <si>
    <t>Testing Update</t>
  </si>
  <si>
    <t>Work Item Status = Test</t>
  </si>
  <si>
    <r>
      <t xml:space="preserve">Dear </t>
    </r>
    <r>
      <rPr>
        <sz val="11"/>
        <color rgb="FF4D93D9"/>
        <rFont val="Aptos Narrow"/>
        <family val="2"/>
      </rPr>
      <t>{{Customer Name}}</t>
    </r>
    <r>
      <rPr>
        <sz val="11"/>
        <color rgb="FF000000"/>
        <rFont val="Aptos Narrow"/>
        <family val="2"/>
      </rPr>
      <t xml:space="preserve">,
I’m reaching out with the latest update on your case </t>
    </r>
    <r>
      <rPr>
        <sz val="11"/>
        <color rgb="FF4D93D9"/>
        <rFont val="Aptos Narrow"/>
        <family val="2"/>
      </rPr>
      <t>{{CS Number}}</t>
    </r>
    <r>
      <rPr>
        <sz val="11"/>
        <color rgb="FF000000"/>
        <rFont val="Aptos Narrow"/>
        <family val="2"/>
      </rPr>
      <t xml:space="preserve">, related to </t>
    </r>
    <r>
      <rPr>
        <sz val="11"/>
        <color rgb="FF4D93D9"/>
        <rFont val="Aptos Narrow"/>
        <family val="2"/>
      </rPr>
      <t>{{Meaningful Title from the Case Description}}</t>
    </r>
    <r>
      <rPr>
        <sz val="11"/>
        <color rgb="FF000000"/>
        <rFont val="Aptos Narrow"/>
        <family val="2"/>
      </rPr>
      <t xml:space="preserve"> in </t>
    </r>
    <r>
      <rPr>
        <sz val="11"/>
        <color rgb="FF4D93D9"/>
        <rFont val="Aptos Narrow"/>
        <family val="2"/>
      </rPr>
      <t>{{Product Name}}</t>
    </r>
    <r>
      <rPr>
        <sz val="11"/>
        <color rgb="FF000000"/>
        <rFont val="Aptos Narrow"/>
        <family val="2"/>
      </rPr>
      <t xml:space="preserve">.
The work has progressed further, and the fix is now in the testing phase. This step focuses on validating the implemented changes and confirming that the reported behavior is addressed as expected.
Once this validation is completed, we will share the outcome and determine the appropriate next steps. This may include planning the delivery as part of a product update, which we will communicate to you in a follow‑up message.
Kind regards,
</t>
    </r>
    <r>
      <rPr>
        <sz val="11"/>
        <color rgb="FF4D93D9"/>
        <rFont val="Aptos Narrow"/>
        <family val="2"/>
      </rPr>
      <t>{{Support Consultant 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</si>
</sst>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1"/>
      <color rgb="FF242424"/>
      <name val="Aptos Narrow"/>
      <family val="2"/>
    </font>
    <font>
      <b/>
      <sz val="14"/>
      <color rgb="FFFFFFFF"/>
      <name val="Calibri"/>
      <family val="2"/>
      <scheme val="minor"/>
    </font>
    <font>
      <b/>
      <sz val="11"/>
      <color theme="1"/>
      <name val="Calibri"/>
      <family val="2"/>
      <scheme val="minor"/>
    </font>
    <font>
      <i/>
      <sz val="11"/>
      <color rgb="FF404040"/>
      <name val="Calibri"/>
      <family val="2"/>
      <scheme val="minor"/>
    </font>
    <font>
      <b/>
      <sz val="11"/>
      <color rgb="FF1F4E79"/>
      <name val="Calibri"/>
      <family val="2"/>
      <scheme val="minor"/>
    </font>
    <font>
      <sz val="11"/>
      <color rgb="FF1F4E79"/>
      <name val="Calibri"/>
      <family val="2"/>
      <scheme val="minor"/>
    </font>
    <font>
      <sz val="11"/>
      <color rgb="FF000000"/>
      <name val="Aptos Narrow"/>
      <family val="2"/>
    </font>
    <font>
      <sz val="11"/>
      <color rgb="FF4D93D9"/>
      <name val="Aptos Narrow"/>
      <family val="2"/>
    </font>
    <font>
      <sz val="11"/>
      <color rgb="FF0F9ED5"/>
      <name val="Aptos Narrow"/>
      <family val="2"/>
    </font>
    <font>
      <sz val="11"/>
      <color rgb="FFFF0000"/>
      <name val="Aptos Narrow"/>
      <family val="2"/>
    </font>
    <font>
      <sz val="11"/>
      <color rgb="FF000000"/>
      <name val="Calibri"/>
      <family val="2"/>
      <scheme val="minor"/>
    </font>
    <font>
      <sz val="11"/>
      <color rgb="FF4D93D9"/>
      <name val="Calibri"/>
      <family val="2"/>
      <scheme val="minor"/>
    </font>
    <font>
      <sz val="11"/>
      <color rgb="FF2F75B5"/>
      <name val="Calibri"/>
      <family val="2"/>
      <scheme val="minor"/>
    </font>
    <font>
      <sz val="11"/>
      <color rgb="FF0F9ED5"/>
      <name val="Calibri"/>
      <family val="2"/>
      <scheme val="minor"/>
    </font>
    <font>
      <sz val="11"/>
      <color rgb="FF242424"/>
      <name val="Aptos Narrow"/>
      <family val="2"/>
      <charset val="1"/>
    </font>
    <font>
      <b/>
      <sz val="14"/>
      <color rgb="FF000000"/>
      <name val="Calibri"/>
      <scheme val="minor"/>
    </font>
    <font>
      <sz val="11"/>
      <color theme="1"/>
      <name val="Segoe UI"/>
      <charset val="1"/>
    </font>
    <font>
      <sz val="11"/>
      <color rgb="FF000000"/>
      <name val="Calibri"/>
      <charset val="1"/>
    </font>
    <font>
      <sz val="11"/>
      <color rgb="FF242424"/>
      <name val="Aptos Narrow"/>
      <charset val="1"/>
    </font>
  </fonts>
  <fills count="12">
    <fill>
      <patternFill patternType="none"/>
    </fill>
    <fill>
      <patternFill patternType="gray125"/>
    </fill>
    <fill>
      <patternFill patternType="solid">
        <fgColor rgb="FF1F4E79"/>
        <bgColor indexed="64"/>
      </patternFill>
    </fill>
    <fill>
      <patternFill patternType="solid">
        <fgColor theme="2" tint="-0.249977111117893"/>
        <bgColor indexed="64"/>
      </patternFill>
    </fill>
    <fill>
      <patternFill patternType="solid">
        <fgColor theme="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FFFFFF"/>
        <bgColor indexed="64"/>
      </patternFill>
    </fill>
    <fill>
      <patternFill patternType="solid">
        <fgColor rgb="FF92D050"/>
        <bgColor indexed="64"/>
      </patternFill>
    </fill>
  </fills>
  <borders count="4">
    <border>
      <left/>
      <right/>
      <top/>
      <bottom/>
      <diagonal/>
    </border>
    <border>
      <left/>
      <right style="thin">
        <color rgb="FF4EA72E"/>
      </right>
      <top style="thin">
        <color rgb="FF4EA72E"/>
      </top>
      <bottom/>
      <diagonal/>
    </border>
    <border>
      <left/>
      <right/>
      <top style="thin">
        <color theme="9"/>
      </top>
      <bottom/>
      <diagonal/>
    </border>
    <border>
      <left/>
      <right style="thin">
        <color theme="9"/>
      </right>
      <top style="thin">
        <color theme="9"/>
      </top>
      <bottom style="thin">
        <color theme="9"/>
      </bottom>
      <diagonal/>
    </border>
  </borders>
  <cellStyleXfs count="1">
    <xf numFmtId="0" fontId="0" fillId="0" borderId="0"/>
  </cellStyleXfs>
  <cellXfs count="48">
    <xf numFmtId="0" fontId="0" fillId="0" borderId="0" xfId="0"/>
    <xf numFmtId="0" fontId="0" fillId="0" borderId="0" xfId="0" applyAlignment="1">
      <alignment wrapText="1"/>
    </xf>
    <xf numFmtId="1" fontId="0" fillId="0" borderId="0" xfId="0" applyNumberFormat="1"/>
    <xf numFmtId="0" fontId="4" fillId="0" borderId="0" xfId="0" applyFont="1"/>
    <xf numFmtId="0" fontId="4" fillId="0" borderId="0" xfId="0" applyFont="1" applyAlignment="1">
      <alignment horizontal="center"/>
    </xf>
    <xf numFmtId="1" fontId="0" fillId="0" borderId="0" xfId="0" applyNumberFormat="1" applyAlignment="1">
      <alignment horizontal="center"/>
    </xf>
    <xf numFmtId="0" fontId="0" fillId="0" borderId="0" xfId="0" applyAlignment="1">
      <alignment vertical="center" wrapText="1"/>
    </xf>
    <xf numFmtId="0" fontId="0" fillId="4" borderId="0" xfId="0" applyFill="1" applyAlignment="1">
      <alignment wrapText="1"/>
    </xf>
    <xf numFmtId="0" fontId="0" fillId="0" borderId="0" xfId="0" applyAlignment="1">
      <alignment horizontal="left" vertical="center" wrapText="1"/>
    </xf>
    <xf numFmtId="0" fontId="0" fillId="0" borderId="0" xfId="0" applyAlignment="1">
      <alignment horizontal="left" vertical="center"/>
    </xf>
    <xf numFmtId="0" fontId="0" fillId="5" borderId="0" xfId="0" applyFill="1" applyAlignment="1">
      <alignment horizontal="left" vertical="center" wrapText="1"/>
    </xf>
    <xf numFmtId="0" fontId="8" fillId="0" borderId="1" xfId="0" applyFont="1" applyBorder="1" applyAlignment="1">
      <alignment wrapText="1"/>
    </xf>
    <xf numFmtId="0" fontId="11" fillId="0" borderId="0" xfId="0" applyFont="1"/>
    <xf numFmtId="0" fontId="0" fillId="6" borderId="0" xfId="0" applyFill="1" applyAlignment="1">
      <alignment vertical="center" wrapText="1"/>
    </xf>
    <xf numFmtId="0" fontId="0" fillId="6" borderId="0" xfId="0" applyFill="1" applyAlignment="1">
      <alignment horizontal="left" vertical="center"/>
    </xf>
    <xf numFmtId="0" fontId="0" fillId="6" borderId="0" xfId="0" applyFill="1" applyAlignment="1">
      <alignment horizontal="left" vertical="center" wrapText="1"/>
    </xf>
    <xf numFmtId="0" fontId="0" fillId="6" borderId="0" xfId="0" applyFill="1"/>
    <xf numFmtId="0" fontId="0" fillId="5" borderId="0" xfId="0" applyFill="1" applyAlignment="1">
      <alignment vertical="center" wrapText="1"/>
    </xf>
    <xf numFmtId="0" fontId="0" fillId="0" borderId="2" xfId="0" applyBorder="1" applyAlignment="1">
      <alignment horizontal="left" vertical="center"/>
    </xf>
    <xf numFmtId="0" fontId="0" fillId="7" borderId="0" xfId="0" applyFill="1"/>
    <xf numFmtId="0" fontId="0" fillId="8" borderId="0" xfId="0" applyFill="1"/>
    <xf numFmtId="0" fontId="2" fillId="8" borderId="0" xfId="0" applyFont="1" applyFill="1" applyAlignment="1">
      <alignment wrapText="1"/>
    </xf>
    <xf numFmtId="0" fontId="0" fillId="8" borderId="0" xfId="0" applyFill="1" applyAlignment="1">
      <alignment wrapText="1"/>
    </xf>
    <xf numFmtId="0" fontId="16" fillId="8" borderId="0" xfId="0" applyFont="1" applyFill="1" applyAlignment="1">
      <alignment wrapText="1"/>
    </xf>
    <xf numFmtId="0" fontId="0" fillId="0" borderId="0" xfId="0" applyAlignment="1">
      <alignment horizontal="left" vertical="top" wrapText="1"/>
    </xf>
    <xf numFmtId="0" fontId="0" fillId="3" borderId="0" xfId="0" applyFill="1"/>
    <xf numFmtId="0" fontId="16" fillId="6" borderId="0" xfId="0" applyFont="1" applyFill="1" applyAlignment="1">
      <alignment wrapText="1"/>
    </xf>
    <xf numFmtId="0" fontId="0" fillId="8" borderId="0" xfId="0" applyFill="1" applyAlignment="1">
      <alignment vertical="top" wrapText="1"/>
    </xf>
    <xf numFmtId="0" fontId="0" fillId="8" borderId="3" xfId="0" applyFill="1" applyBorder="1" applyAlignment="1">
      <alignment vertical="top" wrapText="1"/>
    </xf>
    <xf numFmtId="0" fontId="1" fillId="6" borderId="0" xfId="0" applyFont="1" applyFill="1" applyAlignment="1">
      <alignment horizontal="left" vertical="center" wrapText="1"/>
    </xf>
    <xf numFmtId="0" fontId="1" fillId="0" borderId="0" xfId="0" applyFont="1" applyAlignment="1">
      <alignment wrapText="1"/>
    </xf>
    <xf numFmtId="0" fontId="1" fillId="6" borderId="0" xfId="0" applyFont="1" applyFill="1" applyAlignment="1">
      <alignment wrapText="1"/>
    </xf>
    <xf numFmtId="0" fontId="1" fillId="0" borderId="0" xfId="0" applyFont="1" applyAlignment="1">
      <alignment horizontal="left" vertical="center" wrapText="1"/>
    </xf>
    <xf numFmtId="0" fontId="2" fillId="6" borderId="0" xfId="0" applyFont="1" applyFill="1" applyAlignment="1">
      <alignment wrapText="1"/>
    </xf>
    <xf numFmtId="0" fontId="2" fillId="9" borderId="0" xfId="0" applyFont="1" applyFill="1" applyAlignment="1">
      <alignment wrapText="1"/>
    </xf>
    <xf numFmtId="0" fontId="17" fillId="7" borderId="0" xfId="0" applyFont="1" applyFill="1" applyAlignment="1">
      <alignment horizontal="center" vertical="center"/>
    </xf>
    <xf numFmtId="0" fontId="17" fillId="7" borderId="0" xfId="0" applyFont="1" applyFill="1" applyAlignment="1">
      <alignment horizontal="left" vertical="top" wrapText="1"/>
    </xf>
    <xf numFmtId="0" fontId="0" fillId="8" borderId="0" xfId="0" applyFill="1" applyAlignment="1">
      <alignment horizontal="left" vertical="top" wrapText="1"/>
    </xf>
    <xf numFmtId="0" fontId="18" fillId="0" borderId="0" xfId="0" applyFont="1" applyAlignment="1">
      <alignment horizontal="left" vertical="top" wrapText="1"/>
    </xf>
    <xf numFmtId="0" fontId="0" fillId="6" borderId="0" xfId="0" applyFill="1" applyAlignment="1">
      <alignment horizontal="left" vertical="top" wrapText="1"/>
    </xf>
    <xf numFmtId="0" fontId="20" fillId="10" borderId="0" xfId="0" applyFont="1" applyFill="1"/>
    <xf numFmtId="0" fontId="0" fillId="11" borderId="0" xfId="0" applyFill="1" applyAlignment="1">
      <alignment wrapText="1"/>
    </xf>
    <xf numFmtId="0" fontId="20" fillId="11" borderId="0" xfId="0" applyFont="1" applyFill="1" applyAlignment="1">
      <alignment vertical="top" wrapText="1"/>
    </xf>
    <xf numFmtId="0" fontId="19" fillId="0" borderId="0" xfId="0" applyFont="1" applyAlignment="1">
      <alignment vertical="top" wrapText="1"/>
    </xf>
    <xf numFmtId="0" fontId="3" fillId="2" borderId="0" xfId="0" applyFont="1" applyFill="1" applyAlignment="1">
      <alignment horizontal="left"/>
    </xf>
    <xf numFmtId="0" fontId="5" fillId="0" borderId="0" xfId="0" applyFont="1"/>
    <xf numFmtId="0" fontId="6" fillId="0" borderId="0" xfId="0" applyFont="1"/>
    <xf numFmtId="0" fontId="7" fillId="0" borderId="0" xfId="0" applyFont="1" applyAlignment="1">
      <alignment wrapText="1"/>
    </xf>
  </cellXfs>
  <cellStyles count="1">
    <cellStyle name="Normal" xfId="0" builtinId="0"/>
  </cellStyles>
  <dxfs count="10">
    <dxf>
      <font>
        <b/>
        <i val="0"/>
        <color rgb="FF006100"/>
      </font>
      <fill>
        <patternFill patternType="solid">
          <fgColor indexed="64"/>
          <bgColor rgb="FFE2F0D9"/>
        </patternFill>
      </fill>
    </dxf>
    <dxf>
      <numFmt numFmtId="1" formatCode="0"/>
      <alignment horizontal="center"/>
    </dxf>
    <dxf>
      <numFmt numFmtId="1" formatCode="0"/>
    </dxf>
    <dxf>
      <numFmt numFmtId="1" formatCode="0"/>
    </dxf>
    <dxf>
      <fill>
        <patternFill>
          <fgColor indexed="64"/>
          <bgColor theme="9" tint="0.79998168889431442"/>
        </patternFill>
      </fill>
    </dxf>
    <dxf>
      <fill>
        <patternFill patternType="none">
          <fgColor indexed="64"/>
          <bgColor auto="1"/>
        </patternFill>
      </fill>
    </dxf>
    <dxf>
      <fill>
        <patternFill patternType="solid">
          <fgColor indexed="64"/>
          <bgColor theme="5" tint="0.79998168889431442"/>
        </patternFill>
      </fill>
      <alignment wrapText="1"/>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3.xml"/><Relationship Id="rId5" Type="http://schemas.openxmlformats.org/officeDocument/2006/relationships/sharedStrings" Target="sharedStrings.xml"/><Relationship Id="rId10" Type="http://schemas.openxmlformats.org/officeDocument/2006/relationships/customXml" Target="../customXml/item2.xml"/><Relationship Id="rId4" Type="http://schemas.openxmlformats.org/officeDocument/2006/relationships/styles" Target="styles.xml"/><Relationship Id="rId9" Type="http://schemas.openxmlformats.org/officeDocument/2006/relationships/customXml" Target="../customXml/item1.xml"/></Relationships>
</file>

<file path=xl/documenttasks/documenttask1.xml><?xml version="1.0" encoding="utf-8"?>
<Tasks xmlns="http://schemas.microsoft.com/office/tasks/2019/documenttasks">
  <Task id="{4335F33F-00B0-4D41-B28E-5BD06A558469}">
    <Anchor>
      <Comment id="{6F37B00D-6798-44B7-BC24-820C1078CB70}"/>
    </Anchor>
    <History>
      <Event time="2026-05-19T12:56:38.46" id="{EF736BD0-0A4E-4022-A542-1E98467B4445}">
        <Attribution userId="S::salah.elrachidy@unit4.com::c80f0db9-2c89-461c-ad26-e95f043da07f" userName="Salah Elrachidy" userProvider="AD"/>
        <Anchor>
          <Comment id="{6F37B00D-6798-44B7-BC24-820C1078CB70}"/>
        </Anchor>
        <Create/>
      </Event>
      <Event time="2026-05-19T12:56:38.46" id="{BA680C92-DB3D-43C1-A193-A0B271B21EC6}">
        <Attribution userId="S::salah.elrachidy@unit4.com::c80f0db9-2c89-461c-ad26-e95f043da07f" userName="Salah Elrachidy" userProvider="AD"/>
        <Anchor>
          <Comment id="{6F37B00D-6798-44B7-BC24-820C1078CB70}"/>
        </Anchor>
        <Assign userId="S::salah.elrachidy@unit4.com::c80f0db9-2c89-461c-ad26-e95f043da07f" userName="Salah Elrachidy" userProvider="AD"/>
      </Event>
      <Event time="2026-05-19T12:56:38.46" id="{8FE781A4-E831-4C4A-BBF0-DF27A6482AED}">
        <Attribution userId="S::salah.elrachidy@unit4.com::c80f0db9-2c89-461c-ad26-e95f043da07f" userName="Salah Elrachidy" userProvider="AD"/>
        <Anchor>
          <Comment id="{6F37B00D-6798-44B7-BC24-820C1078CB70}"/>
        </Anchor>
        <SetTitle title="@Salah Elrachidy Maybe we could consider any comments from the customer or from the Work Item or Problem, and allow a free text section. Even if the message is approved without adding free text, it would still remain meaningful. "/>
      </Event>
    </History>
  </Task>
  <Task id="{2D346558-9364-4D2B-A42C-A866789C6707}">
    <Anchor>
      <Comment id="{0E0DD351-D71D-4354-81C1-39E43C08F518}"/>
    </Anchor>
    <History>
      <Event time="2026-08-03T12:29:44.07" id="{F8F34C26-6E4C-44E1-90EB-6B641B542A0C}">
        <Attribution userId="S::salah.elrachidy@unit4.com::c80f0db9-2c89-461c-ad26-e95f043da07f" userName="Salah Elrachidy" userProvider="AD"/>
        <Anchor>
          <Comment id="{0E0DD351-D71D-4354-81C1-39E43C08F518}"/>
        </Anchor>
        <Create/>
      </Event>
      <Event time="2026-08-03T12:29:44.07" id="{F7EE6692-8E60-40E3-8B33-8FF9279944F8}">
        <Attribution userId="S::salah.elrachidy@unit4.com::c80f0db9-2c89-461c-ad26-e95f043da07f" userName="Salah Elrachidy" userProvider="AD"/>
        <Anchor>
          <Comment id="{0E0DD351-D71D-4354-81C1-39E43C08F518}"/>
        </Anchor>
        <Assign userId="S::Stewart.Phillips@unit4.com::ec7a5ea5-5a62-46b6-839e-c6b955930317" userName="Stewart Phillips" userProvider="AD"/>
      </Event>
      <Event time="2026-08-03T12:29:44.07" id="{857C6F34-BD0F-47DE-ACF2-677A8D209B69}">
        <Attribution userId="S::salah.elrachidy@unit4.com::c80f0db9-2c89-461c-ad26-e95f043da07f" userName="Salah Elrachidy" userProvider="AD"/>
        <Anchor>
          <Comment id="{0E0DD351-D71D-4354-81C1-39E43C08F518}"/>
        </Anchor>
        <SetTitle title="@Stewart Phillips could you please review the attached wording and let me know if you'd suggest any changes to the English?"/>
      </Event>
      <Event time="2026-08-04T11:32:13.20" id="{6B6F2013-041B-4D63-B63E-21F176159FA0}">
        <Attribution userId="S::salah.elrachidy@unit4.com::c80f0db9-2c89-461c-ad26-e95f043da07f" userName="Salah Elrachidy" userProvider="AD"/>
        <Anchor>
          <Comment id="{37FB2811-2596-4F6E-8493-7532A0B18D1E}"/>
        </Anchor>
        <UnassignAll/>
      </Event>
      <Event time="2026-08-04T11:32:13.20" id="{5FCBC95D-3198-4D74-899D-F99BFDD6EE1F}">
        <Attribution userId="S::salah.elrachidy@unit4.com::c80f0db9-2c89-461c-ad26-e95f043da07f" userName="Salah Elrachidy" userProvider="AD"/>
        <Anchor>
          <Comment id="{37FB2811-2596-4F6E-8493-7532A0B18D1E}"/>
        </Anchor>
        <Assign userId="S::pedro.leite@unit4.com::fc1b9783-fb1e-4dbb-98db-2895f7518695" userName="Pedro Leite" userProvider="AD"/>
      </Event>
    </History>
  </Task>
  <Task id="{06B7459E-8386-42C2-81CA-0785255D41C9}">
    <Anchor>
      <Comment id="{6B9AA468-3136-4242-B39A-01CE798960D7}"/>
    </Anchor>
    <History>
      <Event time="2026-05-18T10:53:48.13" id="{F66DBAC5-48EF-4D8A-833D-1A51F17F0998}">
        <Attribution userId="S::salah.elrachidy@unit4.com::c80f0db9-2c89-461c-ad26-e95f043da07f" userName="Salah Elrachidy" userProvider="AD"/>
        <Anchor>
          <Comment id="{6B9AA468-3136-4242-B39A-01CE798960D7}"/>
        </Anchor>
        <Create/>
      </Event>
      <Event time="2026-05-18T10:53:48.13" id="{E3ACD91D-8146-4B85-91E5-57C9BDB339A9}">
        <Attribution userId="S::salah.elrachidy@unit4.com::c80f0db9-2c89-461c-ad26-e95f043da07f" userName="Salah Elrachidy" userProvider="AD"/>
        <Anchor>
          <Comment id="{6B9AA468-3136-4242-B39A-01CE798960D7}"/>
        </Anchor>
        <Assign userId="S::Daniel.Piorkowski@unit4.com::07450b67-fb1b-4f43-b727-09e4276b2963" userName="Daniel Piorkowski" userProvider="AD"/>
      </Event>
      <Event time="2026-05-18T10:53:48.13" id="{3767DA68-4333-4CA7-8C4A-C2157E543092}">
        <Attribution userId="S::salah.elrachidy@unit4.com::c80f0db9-2c89-461c-ad26-e95f043da07f" userName="Salah Elrachidy" userProvider="AD"/>
        <Anchor>
          <Comment id="{6B9AA468-3136-4242-B39A-01CE798960D7}"/>
        </Anchor>
        <SetTitle title="@Daniel Piorkowski I have created these columns for your feedback. Thanks again for your input and your support in this process. "/>
      </Event>
    </History>
  </Task>
  <Task id="{03DE7CCF-68EE-4797-A7A3-50809CB25726}">
    <Anchor>
      <Comment id="{7D740D54-BF03-4C99-A427-D90D0B72009D}"/>
    </Anchor>
    <History>
      <Event time="2026-05-19T12:39:52.71" id="{3BFB1CB6-5C5A-4FDE-9B3A-984742D55973}">
        <Attribution userId="S::salah.elrachidy@unit4.com::c80f0db9-2c89-461c-ad26-e95f043da07f" userName="Salah Elrachidy" userProvider="AD"/>
        <Anchor>
          <Comment id="{7D740D54-BF03-4C99-A427-D90D0B72009D}"/>
        </Anchor>
        <Create/>
      </Event>
      <Event time="2026-05-19T12:39:52.71" id="{D80A1B33-51FD-49AC-844C-C301AE53753B}">
        <Attribution userId="S::salah.elrachidy@unit4.com::c80f0db9-2c89-461c-ad26-e95f043da07f" userName="Salah Elrachidy" userProvider="AD"/>
        <Anchor>
          <Comment id="{7D740D54-BF03-4C99-A427-D90D0B72009D}"/>
        </Anchor>
        <Assign userId="S::Edward.Behan@unit4.com::add4711b-9a48-452b-99e2-123428b287b2" userName="Edward Behan" userProvider="AD"/>
      </Event>
      <Event time="2026-05-19T12:39:52.71" id="{5C4827BD-D9E3-4248-95DD-651E9F12042F}">
        <Attribution userId="S::salah.elrachidy@unit4.com::c80f0db9-2c89-461c-ad26-e95f043da07f" userName="Salah Elrachidy" userProvider="AD"/>
        <Anchor>
          <Comment id="{7D740D54-BF03-4C99-A427-D90D0B72009D}"/>
        </Anchor>
        <SetTitle title="@Edward Behan If the Problem has resolution code &quot;Fix applied&quot;, does that mean the fix has already been implemented by R&amp;D, or is it only planned? "/>
      </Event>
    </History>
  </Task>
</Task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80346</xdr:colOff>
      <xdr:row>4</xdr:row>
      <xdr:rowOff>31713</xdr:rowOff>
    </xdr:from>
    <xdr:to>
      <xdr:col>24</xdr:col>
      <xdr:colOff>3596641</xdr:colOff>
      <xdr:row>5</xdr:row>
      <xdr:rowOff>60581</xdr:rowOff>
    </xdr:to>
    <xdr:pic>
      <xdr:nvPicPr>
        <xdr:cNvPr id="3" name="Picture 1">
          <a:extLst>
            <a:ext uri="{FF2B5EF4-FFF2-40B4-BE49-F238E27FC236}">
              <a16:creationId xmlns:a16="http://schemas.microsoft.com/office/drawing/2014/main" id="{5F960DCB-1970-2EB8-163C-60769C0BE2B0}"/>
            </a:ext>
          </a:extLst>
        </xdr:cNvPr>
        <xdr:cNvPicPr>
          <a:picLocks noChangeAspect="1"/>
        </xdr:cNvPicPr>
      </xdr:nvPicPr>
      <xdr:blipFill>
        <a:blip xmlns:r="http://schemas.openxmlformats.org/officeDocument/2006/relationships" r:embed="rId1"/>
        <a:stretch>
          <a:fillRect/>
        </a:stretch>
      </xdr:blipFill>
      <xdr:spPr>
        <a:xfrm>
          <a:off x="11555170" y="6026860"/>
          <a:ext cx="3587116" cy="1605312"/>
        </a:xfrm>
        <a:prstGeom prst="rect">
          <a:avLst/>
        </a:prstGeom>
      </xdr:spPr>
    </xdr:pic>
    <xdr:clientData/>
  </xdr:twoCellAnchor>
  <xdr:twoCellAnchor editAs="oneCell">
    <xdr:from>
      <xdr:col>9</xdr:col>
      <xdr:colOff>1620291</xdr:colOff>
      <xdr:row>3</xdr:row>
      <xdr:rowOff>1</xdr:rowOff>
    </xdr:from>
    <xdr:to>
      <xdr:col>24</xdr:col>
      <xdr:colOff>6227784</xdr:colOff>
      <xdr:row>3</xdr:row>
      <xdr:rowOff>1272541</xdr:rowOff>
    </xdr:to>
    <xdr:pic>
      <xdr:nvPicPr>
        <xdr:cNvPr id="20" name="Picture 3">
          <a:extLst>
            <a:ext uri="{FF2B5EF4-FFF2-40B4-BE49-F238E27FC236}">
              <a16:creationId xmlns:a16="http://schemas.microsoft.com/office/drawing/2014/main" id="{A41DFDAF-F4A3-D788-0EDB-BF5FFC7D1F04}"/>
            </a:ext>
          </a:extLst>
        </xdr:cNvPr>
        <xdr:cNvPicPr>
          <a:picLocks noChangeAspect="1"/>
        </xdr:cNvPicPr>
      </xdr:nvPicPr>
      <xdr:blipFill>
        <a:blip xmlns:r="http://schemas.openxmlformats.org/officeDocument/2006/relationships" r:embed="rId2"/>
        <a:stretch>
          <a:fillRect/>
        </a:stretch>
      </xdr:blipFill>
      <xdr:spPr>
        <a:xfrm>
          <a:off x="27095336" y="4762501"/>
          <a:ext cx="6131847" cy="1282931"/>
        </a:xfrm>
        <a:prstGeom prst="rect">
          <a:avLst/>
        </a:prstGeom>
      </xdr:spPr>
    </xdr:pic>
    <xdr:clientData/>
  </xdr:twoCellAnchor>
  <xdr:twoCellAnchor editAs="oneCell">
    <xdr:from>
      <xdr:col>14</xdr:col>
      <xdr:colOff>95250</xdr:colOff>
      <xdr:row>2</xdr:row>
      <xdr:rowOff>1619250</xdr:rowOff>
    </xdr:from>
    <xdr:to>
      <xdr:col>25</xdr:col>
      <xdr:colOff>16474</xdr:colOff>
      <xdr:row>3</xdr:row>
      <xdr:rowOff>800100</xdr:rowOff>
    </xdr:to>
    <xdr:pic>
      <xdr:nvPicPr>
        <xdr:cNvPr id="26" name="Picture 4">
          <a:extLst>
            <a:ext uri="{FF2B5EF4-FFF2-40B4-BE49-F238E27FC236}">
              <a16:creationId xmlns:a16="http://schemas.microsoft.com/office/drawing/2014/main" id="{6B6133BB-C632-9E15-19DC-B2AA3E9EBD5C}"/>
            </a:ext>
            <a:ext uri="{147F2762-F138-4A5C-976F-8EAC2B608ADB}">
              <a16:predDERef xmlns:a16="http://schemas.microsoft.com/office/drawing/2014/main" pred="{A41DFDAF-F4A3-D788-0EDB-BF5FFC7D1F04}"/>
            </a:ext>
          </a:extLst>
        </xdr:cNvPr>
        <xdr:cNvPicPr>
          <a:picLocks noChangeAspect="1"/>
        </xdr:cNvPicPr>
      </xdr:nvPicPr>
      <xdr:blipFill>
        <a:blip xmlns:r="http://schemas.openxmlformats.org/officeDocument/2006/relationships" r:embed="rId3"/>
        <a:stretch>
          <a:fillRect/>
        </a:stretch>
      </xdr:blipFill>
      <xdr:spPr>
        <a:xfrm>
          <a:off x="26574750" y="4286250"/>
          <a:ext cx="6303646" cy="1276350"/>
        </a:xfrm>
        <a:prstGeom prst="rect">
          <a:avLst/>
        </a:prstGeom>
      </xdr:spPr>
    </xdr:pic>
    <xdr:clientData/>
  </xdr:twoCellAnchor>
  <xdr:twoCellAnchor editAs="oneCell">
    <xdr:from>
      <xdr:col>15</xdr:col>
      <xdr:colOff>95250</xdr:colOff>
      <xdr:row>2</xdr:row>
      <xdr:rowOff>1619250</xdr:rowOff>
    </xdr:from>
    <xdr:to>
      <xdr:col>25</xdr:col>
      <xdr:colOff>16474</xdr:colOff>
      <xdr:row>3</xdr:row>
      <xdr:rowOff>800100</xdr:rowOff>
    </xdr:to>
    <xdr:pic>
      <xdr:nvPicPr>
        <xdr:cNvPr id="4" name="Picture 4">
          <a:extLst>
            <a:ext uri="{FF2B5EF4-FFF2-40B4-BE49-F238E27FC236}">
              <a16:creationId xmlns:a16="http://schemas.microsoft.com/office/drawing/2014/main" id="{A0949526-DCC5-4A49-BBD7-418A5E8D727D}"/>
            </a:ext>
            <a:ext uri="{147F2762-F138-4A5C-976F-8EAC2B608ADB}">
              <a16:predDERef xmlns:a16="http://schemas.microsoft.com/office/drawing/2014/main" pred="{6B6133BB-C632-9E15-19DC-B2AA3E9EBD5C}"/>
            </a:ext>
          </a:extLst>
        </xdr:cNvPr>
        <xdr:cNvPicPr>
          <a:picLocks noChangeAspect="1"/>
        </xdr:cNvPicPr>
      </xdr:nvPicPr>
      <xdr:blipFill>
        <a:blip xmlns:r="http://schemas.openxmlformats.org/officeDocument/2006/relationships" r:embed="rId3"/>
        <a:stretch>
          <a:fillRect/>
        </a:stretch>
      </xdr:blipFill>
      <xdr:spPr>
        <a:xfrm>
          <a:off x="11144250" y="4343400"/>
          <a:ext cx="6632539" cy="1276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uís Franco" id="{7EAB667D-2803-40E0-B096-E908AD726855}" userId="luis.franco@unit4.com" providerId="PeoplePicker"/>
  <person displayName="Pedro Leite" id="{C08396BA-3F5F-4119-9A24-8E43B685EAE1}" userId="pedro.leite@unit4.com" providerId="PeoplePicker"/>
  <person displayName="Edward Behan" id="{7A07382D-4103-416B-A029-1DADAB6A7DC5}" userId="Edward.Behan@unit4.com" providerId="PeoplePicker"/>
  <person displayName="Salah Elrachidy" id="{CB6B5E02-7835-4D46-B889-19039B9A8067}" userId="salah.elrachidy@unit4.com" providerId="PeoplePicker"/>
  <person displayName="Stewart Phillips" id="{302FCAE8-C253-4C19-839A-BF3586160549}" userId="Stewart.Phillips@unit4.com" providerId="PeoplePicker"/>
  <person displayName="Daniel Piorkowski" id="{260E59DD-AA2F-407A-8DB0-82648FFD00A1}" userId="Daniel.Piorkowski@unit4.com" providerId="PeoplePicker"/>
  <person displayName="Luís Franco" id="{72B0F23B-C5C3-412F-AFA6-18F7CD58529A}" userId="S::luis.franco@unit4.com::e0e63688-635c-41d4-8d91-226d3f0d79da" providerId="AD"/>
  <person displayName="Salah Elrachidy" id="{9929E1FE-27C9-4BDD-B1CC-7BB670AA8133}" userId="S::salah.elrachidy@unit4.com::c80f0db9-2c89-461c-ad26-e95f043da07f" providerId="AD"/>
  <person displayName="Daniel Piorkowski" id="{C4B537D8-78C9-4D1A-AF21-E9D87504E31A}" userId="S::Daniel.Piorkowski@unit4.com::07450b67-fb1b-4f43-b727-09e4276b296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4EA581-4957-4DE5-A125-2467D42882DD}" name="InProgressCases" displayName="InProgressCases" ref="A3:C31" totalsRowCount="1">
  <autoFilter ref="A3:C30" xr:uid="{DF4EA581-4957-4DE5-A125-2467D42882DD}"/>
  <sortState xmlns:xlrd2="http://schemas.microsoft.com/office/spreadsheetml/2017/richdata2" ref="A4:B25">
    <sortCondition descending="1" ref="B4:B25"/>
  </sortState>
  <tableColumns count="3">
    <tableColumn id="1" xr3:uid="{E214BFE1-14D9-4532-9972-DB7527593C38}" name="Consultant" totalsRowLabel="Total"/>
    <tableColumn id="2" xr3:uid="{005C0EBC-6E0D-4484-8E43-E23CC11F3238}" name="In progress case count" totalsRowFunction="sum" dataDxfId="3" totalsRowDxfId="2"/>
    <tableColumn id="3" xr3:uid="{ACCE1480-4C85-4041-B734-97D19CEFCD1D}" name="Nominated?" dataDxfId="1">
      <calculatedColumnFormula>IF(COUNTIF($E$4:$E$200,$A4)&gt;0,"⭐ Yes","")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E22282-3E44-4216-80A0-30CABA467FC9}" name="Table13" displayName="Table13" ref="A1:G10" totalsRowShown="0">
  <autoFilter ref="A1:G10" xr:uid="{B5E22282-3E44-4216-80A0-30CABA467FC9}"/>
  <tableColumns count="7">
    <tableColumn id="1" xr3:uid="{00E78E90-CFD3-4EEA-917F-90C8E04AD009}" name="Fin" dataDxfId="9"/>
    <tableColumn id="3" xr3:uid="{92DC6445-BA3F-4E86-ADD6-B7C89D43A563}" name="Template Name " dataDxfId="8"/>
    <tableColumn id="5" xr3:uid="{4B4300F8-C12B-474A-89BC-CE50493CA0F3}" name="Originally agreed Triggers" dataDxfId="7"/>
    <tableColumn id="2" xr3:uid="{27395D0F-F084-4382-9B19-34D4BFB3D03E}" name="New Proposed Trigger" dataDxfId="6"/>
    <tableColumn id="4" xr3:uid="{23230F14-444F-4223-9FAD-C8E71047D9C1}" name="Template Response" dataDxfId="5"/>
    <tableColumn id="6" xr3:uid="{157FB948-FB7F-43CC-8342-771F7ED95B54}" name="Column1"/>
    <tableColumn id="7" xr3:uid="{F9F2F904-9BAD-4AF8-A233-BBECBD1832F8}" name="Suggested Amendments(NEW)" dataDxfId="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5-18T10:53:48.13" personId="{9929E1FE-27C9-4BDD-B1CC-7BB670AA8133}" id="{6B9AA468-3136-4242-B39A-01CE798960D7}">
    <text xml:space="preserve">@Daniel Piorkowski  I have created these columns for your feedback. Thanks again for your input and your support in this process.
</text>
    <mentions>
      <mention mentionpersonId="{260E59DD-AA2F-407A-8DB0-82648FFD00A1}" mentionId="{227C6004-589E-47D4-88AC-D9FCE27B8EEE}" startIndex="0" length="18"/>
    </mentions>
  </threadedComment>
  <threadedComment ref="J1" dT="2026-05-19T07:45:08.98" personId="{C4B537D8-78C9-4D1A-AF21-E9D87504E31A}" id="{1F47B433-42B1-4089-863E-207033A9E9D9}" parentId="{6B9AA468-3136-4242-B39A-01CE798960D7}">
    <text xml:space="preserve">@Salah Elrachidy  As I review all the triggers, I’ve realised there may be a broader issue with distinguishing ERPx problem cases from non-problem ones. In ERPx, “problems” are used not only to report issues to R&amp;D but also to run SQL scripts. In those cases (which are part of a regular daily process) the triggers and templates would not apply. This means we need an additional way to differentiate between these scenarios, although I’m not yet sure what criteria we could use.
</text>
    <mentions>
      <mention mentionpersonId="{CB6B5E02-7835-4D46-B889-19039B9A8067}" mentionId="{9EE80343-E384-4955-A316-BC62B98A0612}" startIndex="0" length="16"/>
    </mentions>
  </threadedComment>
  <threadedComment ref="J1" dT="2026-05-19T07:49:30.63" personId="{9929E1FE-27C9-4BDD-B1CC-7BB670AA8133}" id="{2FF32FA0-FDBF-42C9-96F0-0731ACCDFFFE}" parentId="{6B9AA468-3136-4242-B39A-01CE798960D7}">
    <text xml:space="preserve">@Daniel Piorkowski Yes, all SQL-related cases would be excluded from the triggers, as they are part of standard operational processes rather than problem-driven workflows.
Thanks for the vigilance on this 👍
</text>
    <mentions>
      <mention mentionpersonId="{260E59DD-AA2F-407A-8DB0-82648FFD00A1}" mentionId="{F4160237-E2CC-490A-80CE-95BCB221A9C3}" startIndex="0" length="18"/>
    </mentions>
  </threadedComment>
  <threadedComment ref="AA2" dT="2026-08-03T12:29:43.55" personId="{9929E1FE-27C9-4BDD-B1CC-7BB670AA8133}" id="{0E0DD351-D71D-4354-81C1-39E43C08F518}">
    <text>@Stewart Phillips could you please review the wording and let me know if you'd suggest any changes to the English?</text>
    <mentions>
      <mention mentionpersonId="{302FCAE8-C253-4C19-839A-BF3586160549}" mentionId="{C7AACD90-D9C3-4E2C-BBED-2E95800EA38E}" startIndex="0" length="17"/>
    </mentions>
  </threadedComment>
  <threadedComment ref="AA2" dT="2026-08-03T12:32:24.63" personId="{9929E1FE-27C9-4BDD-B1CC-7BB670AA8133}" id="{1468CF01-8A46-44A1-8E39-0C035174CA5A}" parentId="{0E0DD351-D71D-4354-81C1-39E43C08F518}">
    <text>Of course, if you have any suggestions or improvements, please feel free to share them</text>
  </threadedComment>
  <threadedComment ref="AA2" dT="2026-08-04T11:32:12.15" personId="{9929E1FE-27C9-4BDD-B1CC-7BB670AA8133}" id="{37FB2811-2596-4F6E-8493-7532A0B18D1E}" parentId="{0E0DD351-D71D-4354-81C1-39E43C08F518}">
    <text>@Pedro Leite Hi Pedro,
The intro text is ready for you to implement in the templates, please. Stewart has already reviewed it, and it's good to go.</text>
    <mentions>
      <mention mentionpersonId="{C08396BA-3F5F-4119-9A24-8E43B685EAE1}" mentionId="{1630B6BE-6B96-4C91-9076-80D93950AF4E}" startIndex="0" length="12"/>
    </mentions>
  </threadedComment>
  <threadedComment ref="J3" dT="2026-05-18T12:27:11.02" personId="{9929E1FE-27C9-4BDD-B1CC-7BB670AA8133}" id="{1F8859C2-7FE1-4690-AB8E-B1CC68415A31}">
    <text xml:space="preserve">@Daniel Piorkowski There is no trigger for assess status, we decided to exclude it.
</text>
    <mentions>
      <mention mentionpersonId="{260E59DD-AA2F-407A-8DB0-82648FFD00A1}" mentionId="{2F33442C-3BFF-41E0-8942-F5E7F3C9D2CD}" startIndex="0" length="18"/>
    </mentions>
  </threadedComment>
  <threadedComment ref="J3" dT="2026-05-18T14:35:31.10" personId="{C4B537D8-78C9-4D1A-AF21-E9D87504E31A}" id="{2C6C7EFC-C9BB-4FA5-9742-67D64E981FB6}" parentId="{1F8859C2-7FE1-4690-AB8E-B1CC68415A31}">
    <text>@Salah Elrachidy After double-checking the process on the SA side, it appears that “Assess” and “Root Cause Analysis” should be effectively treated as the same step.</text>
    <mentions>
      <mention mentionpersonId="{CB6B5E02-7835-4D46-B889-19039B9A8067}" mentionId="{DEDF0917-1B23-42EB-A7F4-19C352875D3F}" startIndex="0" length="16"/>
    </mentions>
  </threadedComment>
  <threadedComment ref="D4" dT="2026-07-23T14:20:03.21" personId="{9929E1FE-27C9-4BDD-B1CC-7BB670AA8133}" id="{0F4F1E2F-C510-4611-AFB2-86F5FE7F8AEC}">
    <text xml:space="preserve">doesn't require WORK ITEM to trigger </text>
  </threadedComment>
  <threadedComment ref="Z5" dT="2026-05-19T12:29:39.54" personId="{9929E1FE-27C9-4BDD-B1CC-7BB670AA8133}" id="{D14C3B35-1744-439B-9325-8AADEE17B61D}">
    <text>@Edward Behan TBD</text>
    <mentions>
      <mention mentionpersonId="{7A07382D-4103-416B-A029-1DADAB6A7DC5}" mentionId="{CDB5D02C-4056-4F93-96DE-C0D64620EEAC}" startIndex="0" length="13"/>
    </mentions>
  </threadedComment>
  <threadedComment ref="Z6" dT="2026-05-19T12:39:52.71" personId="{9929E1FE-27C9-4BDD-B1CC-7BB670AA8133}" id="{7D740D54-BF03-4C99-A427-D90D0B72009D}">
    <text xml:space="preserve">@Edward Behan  If the Problem has resolution code "Fix applied", does that mean the fix has already been implemented by R&amp;D, or is it only planned?
</text>
    <mentions>
      <mention mentionpersonId="{7A07382D-4103-416B-A029-1DADAB6A7DC5}" mentionId="{B1E30B68-5491-4A18-98FD-C57D30EC3707}" startIndex="0" length="13"/>
    </mentions>
  </threadedComment>
  <threadedComment ref="Z7" dT="2026-05-20T09:07:05.32" personId="{9929E1FE-27C9-4BDD-B1CC-7BB670AA8133}" id="{4ADFFDC7-75FF-41BF-AD9A-84F9891E4FB4}">
    <text xml:space="preserve">Hi @Luís Franco  
Quick question, would it be possible to implement a template where we include a few predefined options (e.g. 1, 2, 3), and the consultant selects one, so only that version is kept in the final message?
The idea is to keep the template simple but allow different outcomes (working as designed, enhancement, further investigation) without needing to rewrite the response each time.
Do you think this could be supported in ServiceNow?
Thanks 🙂
</text>
    <mentions>
      <mention mentionpersonId="{7EAB667D-2803-40E0-B096-E908AD726855}" mentionId="{7631A629-953F-4225-ABA2-8EBDB3D7F45B}" startIndex="3" length="12"/>
    </mentions>
  </threadedComment>
  <threadedComment ref="Z7" dT="2026-05-20T09:47:45.60" personId="{72B0F23B-C5C3-412F-AFA6-18F7CD58529A}" id="{2C55CDE0-B89C-4F59-9E98-888CAE0D57E3}" parentId="{4ADFFDC7-75FF-41BF-AD9A-84F9891E4FB4}">
    <text xml:space="preserve">This will need to be confirmed by servicenow. I think this is a very different use case. </text>
  </threadedComment>
  <threadedComment ref="Z9" dT="2026-05-19T12:56:38.46" personId="{9929E1FE-27C9-4BDD-B1CC-7BB670AA8133}" id="{6F37B00D-6798-44B7-BC24-820C1078CB70}">
    <text xml:space="preserve">@Salah Elrachidy  Maybe we could consider any comments from the customer or from the Work Item or Problem, and allow a free text section. Even if the message is approved without adding free text, it would still remain meaningful.
</text>
    <mentions>
      <mention mentionpersonId="{CB6B5E02-7835-4D46-B889-19039B9A8067}" mentionId="{0D98F68D-A669-4706-8E64-0FA2730DBC7B}" startIndex="0" length="16"/>
    </mentions>
  </threadedComment>
  <threadedComment ref="Z10" dT="2026-05-19T12:59:10.00" personId="{9929E1FE-27C9-4BDD-B1CC-7BB670AA8133}" id="{63F0247B-74C2-45B0-A811-8E3AE89C7CE9}">
    <text xml:space="preserve">Or Dear {{Customer First Name}},
We have identified a workaround that may help address the reported behavior until a permanent solution becomes available.
Workaround:
{{Customer-Friendly Workaround}}
The issue is still under review, and we will keep you informed as further updates become available.
Please let us know if you have any questions.
Kind regards,
{{Support Consultant First Name}}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299F-1F03-4590-9DA0-6F0FF261D844}">
  <dimension ref="A1:E31"/>
  <sheetViews>
    <sheetView topLeftCell="A5" workbookViewId="0">
      <selection activeCell="E22" sqref="E22"/>
    </sheetView>
  </sheetViews>
  <sheetFormatPr defaultRowHeight="15" x14ac:dyDescent="0.25"/>
  <cols>
    <col min="1" max="1" width="18" bestFit="1" customWidth="1"/>
    <col min="2" max="2" width="23.42578125" bestFit="1" customWidth="1"/>
    <col min="3" max="3" width="14.42578125" bestFit="1" customWidth="1"/>
    <col min="4" max="4" width="4.5703125" customWidth="1"/>
    <col min="5" max="5" width="24.5703125" bestFit="1" customWidth="1"/>
  </cols>
  <sheetData>
    <row r="1" spans="1:5" ht="18.75" x14ac:dyDescent="0.3">
      <c r="A1" s="44" t="s">
        <v>17</v>
      </c>
      <c r="B1" s="44"/>
      <c r="C1" s="46" t="s">
        <v>18</v>
      </c>
      <c r="D1" s="46"/>
    </row>
    <row r="2" spans="1:5" x14ac:dyDescent="0.25">
      <c r="A2" s="45" t="s">
        <v>19</v>
      </c>
      <c r="B2" s="45"/>
      <c r="C2" s="47" t="s">
        <v>20</v>
      </c>
      <c r="D2" s="47"/>
    </row>
    <row r="3" spans="1:5" x14ac:dyDescent="0.25">
      <c r="A3" t="s">
        <v>21</v>
      </c>
      <c r="B3" t="s">
        <v>22</v>
      </c>
      <c r="C3" s="4" t="s">
        <v>23</v>
      </c>
      <c r="E3" s="3" t="s">
        <v>24</v>
      </c>
    </row>
    <row r="4" spans="1:5" x14ac:dyDescent="0.25">
      <c r="A4" t="s">
        <v>10</v>
      </c>
      <c r="B4" s="2">
        <v>4</v>
      </c>
      <c r="C4" s="5" t="str">
        <f t="shared" ref="C4:C30" si="0">IF(COUNTIF($E$4:$E$200,$A4)&gt;0,"⭐ Yes","")</f>
        <v/>
      </c>
      <c r="E4" t="e" cm="1">
        <f t="array" ref="E4">_xlfn.LET(_xlpm.r,#REF!,_xlpm.a,_xlfn.TOCOL(_xlpm.r,1),_xlfn._xlws.SORT(_xlfn.UNIQUE(_xlfn._xlws.FILTER(TRIM(_xlpm.a),TRIM(_xlpm.a)&lt;&gt;""))))</f>
        <v>#REF!</v>
      </c>
    </row>
    <row r="5" spans="1:5" x14ac:dyDescent="0.25">
      <c r="A5" t="s">
        <v>4</v>
      </c>
      <c r="B5" s="2">
        <v>4</v>
      </c>
      <c r="C5" s="5" t="str">
        <f>IF(COUNTIF($E$4:$E$200,$A5)&gt;0,"⭐ Yes","")</f>
        <v/>
      </c>
    </row>
    <row r="6" spans="1:5" x14ac:dyDescent="0.25">
      <c r="A6" t="s">
        <v>9</v>
      </c>
      <c r="B6" s="2">
        <v>2</v>
      </c>
      <c r="C6" s="5" t="str">
        <f t="shared" si="0"/>
        <v/>
      </c>
    </row>
    <row r="7" spans="1:5" x14ac:dyDescent="0.25">
      <c r="A7" t="s">
        <v>11</v>
      </c>
      <c r="B7" s="2">
        <v>2</v>
      </c>
      <c r="C7" s="5" t="str">
        <f t="shared" si="0"/>
        <v/>
      </c>
    </row>
    <row r="8" spans="1:5" x14ac:dyDescent="0.25">
      <c r="A8" t="s">
        <v>7</v>
      </c>
      <c r="B8" s="2">
        <v>2</v>
      </c>
      <c r="C8" s="5" t="str">
        <f t="shared" si="0"/>
        <v/>
      </c>
    </row>
    <row r="9" spans="1:5" x14ac:dyDescent="0.25">
      <c r="A9" t="s">
        <v>25</v>
      </c>
      <c r="B9" s="2">
        <v>2</v>
      </c>
      <c r="C9" s="5" t="str">
        <f t="shared" si="0"/>
        <v/>
      </c>
    </row>
    <row r="10" spans="1:5" x14ac:dyDescent="0.25">
      <c r="A10" t="s">
        <v>26</v>
      </c>
      <c r="B10" s="2">
        <v>2</v>
      </c>
      <c r="C10" s="5" t="str">
        <f t="shared" si="0"/>
        <v/>
      </c>
    </row>
    <row r="11" spans="1:5" x14ac:dyDescent="0.25">
      <c r="A11" t="s">
        <v>27</v>
      </c>
      <c r="B11" s="2">
        <v>2</v>
      </c>
      <c r="C11" s="5" t="str">
        <f t="shared" si="0"/>
        <v/>
      </c>
    </row>
    <row r="12" spans="1:5" x14ac:dyDescent="0.25">
      <c r="A12" t="s">
        <v>14</v>
      </c>
      <c r="B12" s="2">
        <v>2</v>
      </c>
      <c r="C12" s="5" t="str">
        <f t="shared" si="0"/>
        <v/>
      </c>
    </row>
    <row r="13" spans="1:5" x14ac:dyDescent="0.25">
      <c r="A13" t="s">
        <v>2</v>
      </c>
      <c r="B13" s="2">
        <v>1</v>
      </c>
      <c r="C13" s="5" t="str">
        <f t="shared" si="0"/>
        <v/>
      </c>
    </row>
    <row r="14" spans="1:5" x14ac:dyDescent="0.25">
      <c r="A14" t="s">
        <v>28</v>
      </c>
      <c r="B14" s="2">
        <v>1</v>
      </c>
      <c r="C14" s="5" t="str">
        <f t="shared" si="0"/>
        <v/>
      </c>
    </row>
    <row r="15" spans="1:5" x14ac:dyDescent="0.25">
      <c r="A15" t="s">
        <v>0</v>
      </c>
      <c r="B15" s="2">
        <v>1</v>
      </c>
      <c r="C15" s="5" t="str">
        <f t="shared" si="0"/>
        <v/>
      </c>
    </row>
    <row r="16" spans="1:5" x14ac:dyDescent="0.25">
      <c r="A16" t="s">
        <v>29</v>
      </c>
      <c r="B16" s="2">
        <v>1</v>
      </c>
      <c r="C16" s="5" t="str">
        <f t="shared" si="0"/>
        <v/>
      </c>
    </row>
    <row r="17" spans="1:3" x14ac:dyDescent="0.25">
      <c r="A17" t="s">
        <v>30</v>
      </c>
      <c r="B17" s="2">
        <v>1</v>
      </c>
      <c r="C17" s="5" t="str">
        <f t="shared" si="0"/>
        <v/>
      </c>
    </row>
    <row r="18" spans="1:3" x14ac:dyDescent="0.25">
      <c r="A18" t="s">
        <v>12</v>
      </c>
      <c r="B18" s="2">
        <v>1</v>
      </c>
      <c r="C18" s="5" t="str">
        <f t="shared" si="0"/>
        <v/>
      </c>
    </row>
    <row r="19" spans="1:3" x14ac:dyDescent="0.25">
      <c r="A19" t="s">
        <v>13</v>
      </c>
      <c r="B19" s="2">
        <v>1</v>
      </c>
      <c r="C19" s="5" t="str">
        <f t="shared" si="0"/>
        <v/>
      </c>
    </row>
    <row r="20" spans="1:3" x14ac:dyDescent="0.25">
      <c r="A20" t="s">
        <v>31</v>
      </c>
      <c r="B20" s="2">
        <v>1</v>
      </c>
      <c r="C20" s="5" t="str">
        <f t="shared" si="0"/>
        <v/>
      </c>
    </row>
    <row r="21" spans="1:3" x14ac:dyDescent="0.25">
      <c r="A21" t="s">
        <v>32</v>
      </c>
      <c r="B21" s="2">
        <v>1</v>
      </c>
      <c r="C21" s="5" t="str">
        <f t="shared" si="0"/>
        <v/>
      </c>
    </row>
    <row r="22" spans="1:3" x14ac:dyDescent="0.25">
      <c r="A22" t="s">
        <v>33</v>
      </c>
      <c r="B22" s="2">
        <v>1</v>
      </c>
      <c r="C22" s="5" t="str">
        <f t="shared" si="0"/>
        <v/>
      </c>
    </row>
    <row r="23" spans="1:3" x14ac:dyDescent="0.25">
      <c r="A23" t="s">
        <v>34</v>
      </c>
      <c r="B23" s="2">
        <v>1</v>
      </c>
      <c r="C23" s="5" t="str">
        <f t="shared" si="0"/>
        <v/>
      </c>
    </row>
    <row r="24" spans="1:3" x14ac:dyDescent="0.25">
      <c r="A24" t="s">
        <v>15</v>
      </c>
      <c r="B24" s="2">
        <v>1</v>
      </c>
      <c r="C24" s="5" t="str">
        <f t="shared" si="0"/>
        <v/>
      </c>
    </row>
    <row r="25" spans="1:3" x14ac:dyDescent="0.25">
      <c r="A25" t="s">
        <v>35</v>
      </c>
      <c r="B25" s="2">
        <v>1</v>
      </c>
      <c r="C25" s="5" t="str">
        <f t="shared" si="0"/>
        <v/>
      </c>
    </row>
    <row r="26" spans="1:3" x14ac:dyDescent="0.25">
      <c r="A26" t="s">
        <v>6</v>
      </c>
      <c r="B26" s="2">
        <v>0</v>
      </c>
      <c r="C26" s="5" t="str">
        <f t="shared" si="0"/>
        <v/>
      </c>
    </row>
    <row r="27" spans="1:3" x14ac:dyDescent="0.25">
      <c r="A27" t="s">
        <v>8</v>
      </c>
      <c r="B27" s="2">
        <v>2</v>
      </c>
      <c r="C27" s="5" t="str">
        <f t="shared" si="0"/>
        <v/>
      </c>
    </row>
    <row r="28" spans="1:3" x14ac:dyDescent="0.25">
      <c r="A28" t="s">
        <v>5</v>
      </c>
      <c r="B28" s="2">
        <v>0</v>
      </c>
      <c r="C28" s="5" t="str">
        <f t="shared" si="0"/>
        <v/>
      </c>
    </row>
    <row r="29" spans="1:3" x14ac:dyDescent="0.25">
      <c r="A29" t="s">
        <v>1</v>
      </c>
      <c r="B29" s="2">
        <v>0</v>
      </c>
      <c r="C29" s="5" t="str">
        <f t="shared" si="0"/>
        <v/>
      </c>
    </row>
    <row r="30" spans="1:3" x14ac:dyDescent="0.25">
      <c r="A30" t="s">
        <v>3</v>
      </c>
      <c r="B30" s="2">
        <v>0</v>
      </c>
      <c r="C30" s="5" t="str">
        <f t="shared" si="0"/>
        <v/>
      </c>
    </row>
    <row r="31" spans="1:3" x14ac:dyDescent="0.25">
      <c r="A31" t="s">
        <v>36</v>
      </c>
      <c r="B31" s="2">
        <f>SUBTOTAL(109,InProgressCases[In progress case count])</f>
        <v>37</v>
      </c>
    </row>
  </sheetData>
  <mergeCells count="4">
    <mergeCell ref="A1:B1"/>
    <mergeCell ref="A2:B2"/>
    <mergeCell ref="C1:D1"/>
    <mergeCell ref="C2:D2"/>
  </mergeCells>
  <conditionalFormatting sqref="A4:C30">
    <cfRule type="expression" dxfId="0" priority="1">
      <formula>COUNTIF($E$4:$E$200,$A4)&gt;0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F6439-7B27-485B-9322-EEB100011221}">
  <sheetPr>
    <tabColor theme="5" tint="0.39997558519241921"/>
  </sheetPr>
  <dimension ref="A1:AB15"/>
  <sheetViews>
    <sheetView tabSelected="1" topLeftCell="Z1" zoomScale="55" zoomScaleNormal="55" workbookViewId="0">
      <selection activeCell="BH2" sqref="BH2"/>
    </sheetView>
  </sheetViews>
  <sheetFormatPr defaultRowHeight="15" x14ac:dyDescent="0.25"/>
  <cols>
    <col min="1" max="1" width="34.28515625" customWidth="1"/>
    <col min="2" max="2" width="22.7109375" hidden="1" customWidth="1"/>
    <col min="3" max="3" width="29.28515625" hidden="1" customWidth="1"/>
    <col min="4" max="4" width="38" bestFit="1" customWidth="1"/>
    <col min="5" max="5" width="94.85546875" customWidth="1"/>
    <col min="6" max="6" width="17.140625" hidden="1" customWidth="1"/>
    <col min="7" max="7" width="86.7109375" style="20" hidden="1" customWidth="1"/>
    <col min="8" max="8" width="26.85546875" hidden="1" customWidth="1"/>
    <col min="9" max="9" width="31.42578125" style="20" hidden="1" customWidth="1"/>
    <col min="10" max="10" width="25.28515625" style="20" hidden="1" customWidth="1"/>
    <col min="11" max="24" width="0" hidden="1" customWidth="1"/>
    <col min="25" max="25" width="99.28515625" customWidth="1"/>
    <col min="26" max="26" width="88.140625" customWidth="1"/>
    <col min="27" max="27" width="49.42578125" style="24" customWidth="1"/>
    <col min="28" max="28" width="47.42578125" customWidth="1"/>
    <col min="29" max="29" width="49.5703125" customWidth="1"/>
  </cols>
  <sheetData>
    <row r="1" spans="1:28" ht="18.75" x14ac:dyDescent="0.25">
      <c r="A1" s="6" t="s">
        <v>37</v>
      </c>
      <c r="B1" s="1" t="s">
        <v>38</v>
      </c>
      <c r="C1" s="1" t="s">
        <v>39</v>
      </c>
      <c r="D1" s="7" t="s">
        <v>40</v>
      </c>
      <c r="E1" t="s">
        <v>41</v>
      </c>
      <c r="F1" t="s">
        <v>42</v>
      </c>
      <c r="G1" s="19" t="s">
        <v>43</v>
      </c>
      <c r="I1" s="25" t="s">
        <v>44</v>
      </c>
      <c r="J1" s="25" t="s">
        <v>45</v>
      </c>
      <c r="Z1" s="35" t="s">
        <v>46</v>
      </c>
      <c r="AA1" s="36" t="s">
        <v>47</v>
      </c>
    </row>
    <row r="2" spans="1:28" ht="195.75" customHeight="1" x14ac:dyDescent="0.25">
      <c r="A2" s="8" t="s">
        <v>48</v>
      </c>
      <c r="B2" s="6" t="s">
        <v>49</v>
      </c>
      <c r="C2" s="9" t="s">
        <v>50</v>
      </c>
      <c r="D2" s="10" t="s">
        <v>51</v>
      </c>
      <c r="E2" s="11" t="s">
        <v>52</v>
      </c>
      <c r="F2" s="12" t="s">
        <v>53</v>
      </c>
      <c r="G2" s="23" t="s">
        <v>54</v>
      </c>
      <c r="I2" s="23" t="s">
        <v>55</v>
      </c>
      <c r="J2" s="23"/>
      <c r="Z2" s="21" t="s">
        <v>56</v>
      </c>
      <c r="AA2" s="24" t="s">
        <v>57</v>
      </c>
    </row>
    <row r="3" spans="1:28" s="16" customFormat="1" ht="165" customHeight="1" x14ac:dyDescent="0.25">
      <c r="A3" s="15" t="s">
        <v>58</v>
      </c>
      <c r="B3" s="13" t="s">
        <v>59</v>
      </c>
      <c r="C3" s="13" t="s">
        <v>16</v>
      </c>
      <c r="D3" s="15" t="s">
        <v>60</v>
      </c>
      <c r="E3" s="29" t="s">
        <v>61</v>
      </c>
      <c r="G3" s="26" t="s">
        <v>62</v>
      </c>
      <c r="I3" s="26"/>
      <c r="J3" s="26" t="s">
        <v>63</v>
      </c>
      <c r="Z3" s="33"/>
      <c r="AA3" s="39" t="s">
        <v>60</v>
      </c>
      <c r="AB3" s="3" t="s">
        <v>16</v>
      </c>
    </row>
    <row r="4" spans="1:28" ht="115.5" customHeight="1" x14ac:dyDescent="0.25">
      <c r="A4" s="8" t="s">
        <v>64</v>
      </c>
      <c r="B4" s="6" t="s">
        <v>65</v>
      </c>
      <c r="C4" s="9" t="s">
        <v>66</v>
      </c>
      <c r="D4" s="10" t="s">
        <v>67</v>
      </c>
      <c r="E4" s="30" t="s">
        <v>68</v>
      </c>
      <c r="G4" s="21" t="s">
        <v>69</v>
      </c>
      <c r="H4" s="11" t="s">
        <v>70</v>
      </c>
      <c r="I4" s="21" t="s">
        <v>71</v>
      </c>
      <c r="J4" s="21" t="s">
        <v>72</v>
      </c>
      <c r="Z4" s="21" t="s">
        <v>73</v>
      </c>
      <c r="AA4" s="24" t="s">
        <v>74</v>
      </c>
      <c r="AB4" s="41" t="s">
        <v>75</v>
      </c>
    </row>
    <row r="5" spans="1:28" ht="123.6" customHeight="1" x14ac:dyDescent="0.25">
      <c r="A5" s="6" t="s">
        <v>76</v>
      </c>
      <c r="B5" s="6" t="s">
        <v>76</v>
      </c>
      <c r="C5" s="9" t="s">
        <v>77</v>
      </c>
      <c r="D5" s="10" t="s">
        <v>78</v>
      </c>
      <c r="E5" s="30" t="s">
        <v>79</v>
      </c>
      <c r="G5" s="21" t="s">
        <v>80</v>
      </c>
      <c r="I5" s="21" t="s">
        <v>81</v>
      </c>
      <c r="J5" s="21" t="s">
        <v>82</v>
      </c>
      <c r="Z5" s="21" t="s">
        <v>83</v>
      </c>
      <c r="AA5" s="24" t="s">
        <v>84</v>
      </c>
      <c r="AB5" s="42" t="s">
        <v>85</v>
      </c>
    </row>
    <row r="6" spans="1:28" ht="169.5" customHeight="1" x14ac:dyDescent="0.25">
      <c r="A6" s="6" t="s">
        <v>86</v>
      </c>
      <c r="B6" s="6" t="s">
        <v>87</v>
      </c>
      <c r="C6" s="9" t="s">
        <v>88</v>
      </c>
      <c r="D6" s="10" t="s">
        <v>89</v>
      </c>
      <c r="E6" s="30" t="s">
        <v>90</v>
      </c>
      <c r="G6" s="21" t="s">
        <v>91</v>
      </c>
      <c r="I6" s="21" t="s">
        <v>92</v>
      </c>
      <c r="J6" s="21" t="s">
        <v>93</v>
      </c>
      <c r="K6" s="1" t="s">
        <v>94</v>
      </c>
      <c r="Z6" s="21" t="s">
        <v>95</v>
      </c>
      <c r="AA6" s="24" t="s">
        <v>96</v>
      </c>
    </row>
    <row r="7" spans="1:28" ht="225" customHeight="1" x14ac:dyDescent="0.25">
      <c r="A7" s="6" t="s">
        <v>97</v>
      </c>
      <c r="B7" s="6" t="s">
        <v>98</v>
      </c>
      <c r="C7" s="9" t="s">
        <v>99</v>
      </c>
      <c r="D7" s="10" t="s">
        <v>100</v>
      </c>
      <c r="E7" s="30" t="s">
        <v>101</v>
      </c>
      <c r="G7" s="22" t="s">
        <v>102</v>
      </c>
      <c r="I7" s="22"/>
      <c r="J7" s="22" t="s">
        <v>103</v>
      </c>
      <c r="Z7" s="34" t="s">
        <v>104</v>
      </c>
      <c r="AA7" s="24" t="s">
        <v>105</v>
      </c>
      <c r="AB7" s="40" t="s">
        <v>106</v>
      </c>
    </row>
    <row r="8" spans="1:28" s="16" customFormat="1" ht="161.25" hidden="1" customHeight="1" x14ac:dyDescent="0.25">
      <c r="A8" s="13" t="s">
        <v>107</v>
      </c>
      <c r="B8" s="13" t="s">
        <v>108</v>
      </c>
      <c r="C8" s="14" t="s">
        <v>99</v>
      </c>
      <c r="D8" s="15" t="s">
        <v>109</v>
      </c>
      <c r="E8" s="31" t="s">
        <v>110</v>
      </c>
      <c r="G8" s="20"/>
      <c r="I8" s="20"/>
      <c r="J8" s="20"/>
      <c r="Z8" s="20"/>
      <c r="AA8" s="24" t="s">
        <v>111</v>
      </c>
      <c r="AB8"/>
    </row>
    <row r="9" spans="1:28" ht="140.44999999999999" customHeight="1" x14ac:dyDescent="0.25">
      <c r="A9" s="8" t="s">
        <v>112</v>
      </c>
      <c r="B9" s="6" t="s">
        <v>59</v>
      </c>
      <c r="C9" s="9" t="s">
        <v>113</v>
      </c>
      <c r="D9" s="10" t="s">
        <v>114</v>
      </c>
      <c r="E9" s="32" t="s">
        <v>61</v>
      </c>
      <c r="G9" s="22" t="s">
        <v>115</v>
      </c>
      <c r="I9" s="22" t="s">
        <v>116</v>
      </c>
      <c r="J9" s="22" t="s">
        <v>117</v>
      </c>
      <c r="Z9" s="27" t="s">
        <v>118</v>
      </c>
      <c r="AA9" s="38" t="s">
        <v>119</v>
      </c>
      <c r="AB9" s="40" t="s">
        <v>120</v>
      </c>
    </row>
    <row r="10" spans="1:28" ht="195" x14ac:dyDescent="0.25">
      <c r="A10" s="6" t="s">
        <v>121</v>
      </c>
      <c r="B10" s="6" t="s">
        <v>122</v>
      </c>
      <c r="C10" s="6" t="s">
        <v>123</v>
      </c>
      <c r="D10" s="17" t="s">
        <v>124</v>
      </c>
      <c r="E10" s="30" t="s">
        <v>125</v>
      </c>
      <c r="G10" s="22" t="s">
        <v>126</v>
      </c>
      <c r="I10" s="22" t="s">
        <v>127</v>
      </c>
      <c r="J10" s="22"/>
      <c r="Z10" s="28" t="s">
        <v>128</v>
      </c>
      <c r="AA10" s="43" t="s">
        <v>129</v>
      </c>
    </row>
    <row r="11" spans="1:28" x14ac:dyDescent="0.25">
      <c r="A11" s="6"/>
      <c r="B11" s="6"/>
      <c r="C11" s="6"/>
      <c r="D11" s="1"/>
      <c r="Z11" s="20"/>
      <c r="AA11" s="37"/>
    </row>
    <row r="12" spans="1:28" x14ac:dyDescent="0.25">
      <c r="A12" s="6"/>
      <c r="B12" s="6"/>
      <c r="C12" s="6"/>
      <c r="D12" s="1"/>
      <c r="Z12" s="20"/>
      <c r="AA12" s="37"/>
    </row>
    <row r="13" spans="1:28" x14ac:dyDescent="0.25">
      <c r="A13" s="6"/>
      <c r="B13" s="1"/>
      <c r="C13" s="1"/>
      <c r="D13" s="1"/>
      <c r="Z13" s="20"/>
      <c r="AA13" s="37"/>
    </row>
    <row r="14" spans="1:28" ht="120" hidden="1" x14ac:dyDescent="0.25">
      <c r="A14" s="6" t="s">
        <v>130</v>
      </c>
      <c r="B14" s="6" t="s">
        <v>131</v>
      </c>
      <c r="C14" s="18" t="s">
        <v>132</v>
      </c>
      <c r="D14" s="15" t="s">
        <v>133</v>
      </c>
      <c r="E14" s="11" t="s">
        <v>134</v>
      </c>
      <c r="Z14" s="20"/>
      <c r="AA14" s="37"/>
    </row>
    <row r="15" spans="1:28" ht="150" hidden="1" x14ac:dyDescent="0.25">
      <c r="A15" s="8" t="s">
        <v>135</v>
      </c>
      <c r="B15" s="6" t="s">
        <v>136</v>
      </c>
      <c r="C15" s="18" t="s">
        <v>137</v>
      </c>
      <c r="D15" s="15" t="s">
        <v>133</v>
      </c>
      <c r="E15" s="11" t="s">
        <v>138</v>
      </c>
      <c r="Z15" s="20"/>
      <c r="AA15" s="37"/>
    </row>
  </sheetData>
  <pageMargins left="0.7" right="0.7" top="0.75" bottom="0.75" header="0.3" footer="0.3"/>
  <drawing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5cf0ad-a2e8-4ff2-ade6-c779f6a8ec56">
      <Terms xmlns="http://schemas.microsoft.com/office/infopath/2007/PartnerControls"/>
    </lcf76f155ced4ddcb4097134ff3c332f>
    <TaxCatchAll xmlns="a6bc6bbe-208c-4149-b225-38e66b26143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BD81F97B6E5F4A8CD42175F0AC491A" ma:contentTypeVersion="11" ma:contentTypeDescription="Create a new document." ma:contentTypeScope="" ma:versionID="ef4e44c71356e794136dbbb4a1ec8f91">
  <xsd:schema xmlns:xsd="http://www.w3.org/2001/XMLSchema" xmlns:xs="http://www.w3.org/2001/XMLSchema" xmlns:p="http://schemas.microsoft.com/office/2006/metadata/properties" xmlns:ns2="3a5cf0ad-a2e8-4ff2-ade6-c779f6a8ec56" xmlns:ns3="a6bc6bbe-208c-4149-b225-38e66b261434" targetNamespace="http://schemas.microsoft.com/office/2006/metadata/properties" ma:root="true" ma:fieldsID="3863af84073e392a4e9718dfa13afa94" ns2:_="" ns3:_="">
    <xsd:import namespace="3a5cf0ad-a2e8-4ff2-ade6-c779f6a8ec56"/>
    <xsd:import namespace="a6bc6bbe-208c-4149-b225-38e66b2614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cf0ad-a2e8-4ff2-ade6-c779f6a8ec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64c6eb1-b10b-459f-93b7-e8557633dbf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bc6bbe-208c-4149-b225-38e66b26143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503b8af-c187-4818-9893-825d3349466f}" ma:internalName="TaxCatchAll" ma:showField="CatchAllData" ma:web="a6bc6bbe-208c-4149-b225-38e66b2614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D52AD4-2B6E-4F85-AABF-D6F50B9A1B0E}">
  <ds:schemaRefs>
    <ds:schemaRef ds:uri="http://schemas.microsoft.com/sharepoint/v3/contenttype/forms"/>
  </ds:schemaRefs>
</ds:datastoreItem>
</file>

<file path=customXml/itemProps2.xml><?xml version="1.0" encoding="utf-8"?>
<ds:datastoreItem xmlns:ds="http://schemas.openxmlformats.org/officeDocument/2006/customXml" ds:itemID="{850C0A6A-19E1-40DB-A2F8-56B3F65E68DF}">
  <ds:schemaRefs>
    <ds:schemaRef ds:uri="http://schemas.microsoft.com/office/2006/metadata/properties"/>
    <ds:schemaRef ds:uri="http://schemas.microsoft.com/office/infopath/2007/PartnerControls"/>
    <ds:schemaRef ds:uri="3a5cf0ad-a2e8-4ff2-ade6-c779f6a8ec56"/>
    <ds:schemaRef ds:uri="a6bc6bbe-208c-4149-b225-38e66b261434"/>
  </ds:schemaRefs>
</ds:datastoreItem>
</file>

<file path=customXml/itemProps3.xml><?xml version="1.0" encoding="utf-8"?>
<ds:datastoreItem xmlns:ds="http://schemas.openxmlformats.org/officeDocument/2006/customXml" ds:itemID="{212BC0BA-58A0-4BB3-8EE2-43DB928BF6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5cf0ad-a2e8-4ff2-ade6-c779f6a8ec56"/>
    <ds:schemaRef ds:uri="a6bc6bbe-208c-4149-b225-38e66b2614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321142b-4d6d-4b5f-a868-abf50b6e1bee}" enabled="1" method="Standard" siteId="{ee137cc4-5d43-43cf-9da5-f75728b8d21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In-progress Cases</vt:lpstr>
      <vt:lpstr>Comm Templates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openpyxl;salah.elrachidy@unit4.com</dc:creator>
  <cp:keywords/>
  <dc:description/>
  <cp:lastModifiedBy>Pedro Leite</cp:lastModifiedBy>
  <cp:revision/>
  <dcterms:created xsi:type="dcterms:W3CDTF">2026-04-08T10:28:33Z</dcterms:created>
  <dcterms:modified xsi:type="dcterms:W3CDTF">2026-08-07T14:12:47Z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0x0101001BBD81F97B6E5F4A8CD42175F0AC491A</vt:lpwstr>
  </property>
  <property fmtid="{D5CDD505-2E9C-101B-9397-08002B2CF9AE}" pid="3" name="MediaServiceImageTags">
    <vt:lpwstr/>
  </property>
</Properties>
</file>